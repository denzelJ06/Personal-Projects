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ap25084_qmul_ac_uk/Documents/Project 4 (Option 2; Team A)/Clean Datasets/"/>
    </mc:Choice>
  </mc:AlternateContent>
  <xr:revisionPtr revIDLastSave="30" documentId="13_ncr:1_{F4851A8D-6ADE-484B-B19A-C1F15265530B}" xr6:coauthVersionLast="47" xr6:coauthVersionMax="47" xr10:uidLastSave="{D3BD4948-51CF-4124-983D-B7520FBFCB1A}"/>
  <bookViews>
    <workbookView xWindow="-108" yWindow="-108" windowWidth="23256" windowHeight="13896" xr2:uid="{07DAC631-E724-46C6-9914-746D18FB497F}"/>
  </bookViews>
  <sheets>
    <sheet name="AWE &amp; AR Cleaned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D26" i="1"/>
  <c r="D25" i="1"/>
  <c r="D24" i="1"/>
  <c r="D23" i="1"/>
  <c r="D22" i="1"/>
  <c r="C2" i="1"/>
  <c r="C3" i="1"/>
  <c r="C4" i="1"/>
  <c r="C5" i="1"/>
  <c r="D5" i="1" s="1"/>
  <c r="C6" i="1"/>
  <c r="D6" i="1" s="1"/>
  <c r="C7" i="1"/>
  <c r="C8" i="1"/>
  <c r="C9" i="1"/>
  <c r="C10" i="1"/>
  <c r="C11" i="1"/>
  <c r="C12" i="1"/>
  <c r="C13" i="1"/>
  <c r="C14" i="1"/>
  <c r="C15" i="1"/>
  <c r="D15" i="1" s="1"/>
  <c r="C16" i="1"/>
  <c r="C17" i="1"/>
  <c r="C18" i="1"/>
  <c r="C19" i="1"/>
  <c r="C20" i="1"/>
  <c r="C21" i="1"/>
  <c r="D21" i="1" s="1"/>
  <c r="C22" i="1"/>
  <c r="D20" i="1"/>
  <c r="D19" i="1"/>
  <c r="D18" i="1"/>
  <c r="D17" i="1"/>
  <c r="D13" i="1"/>
  <c r="D12" i="1"/>
  <c r="D11" i="1"/>
  <c r="D4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7" i="1"/>
  <c r="D8" i="1"/>
  <c r="D9" i="1"/>
  <c r="D10" i="1"/>
  <c r="D14" i="1"/>
  <c r="D16" i="1" l="1"/>
  <c r="D3" i="1"/>
</calcChain>
</file>

<file path=xl/sharedStrings.xml><?xml version="1.0" encoding="utf-8"?>
<sst xmlns="http://schemas.openxmlformats.org/spreadsheetml/2006/main" count="8" uniqueCount="7">
  <si>
    <t>Year</t>
  </si>
  <si>
    <t>AWE Annual Average (Index) from 2000</t>
  </si>
  <si>
    <t>AWE Annual Average (Index) from 2004</t>
  </si>
  <si>
    <t>Earnings Growth (%)</t>
  </si>
  <si>
    <t>Affordability Ratio Annual Median</t>
  </si>
  <si>
    <t>Ratio Change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</si>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</sst>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indexed="8"/>
      <name val="Aptos Narrow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 style="thin">
        <color rgb="FF44B3E1"/>
      </right>
      <top style="thin">
        <color rgb="FF44B3E1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2" fontId="5" fillId="0" borderId="1" xfId="0" applyNumberFormat="1" applyFon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2" fontId="5" fillId="0" borderId="2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2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6924-9CE1-4BD3-808E-3A6F1955A4E6}">
  <dimension ref="A1:F26"/>
  <sheetViews>
    <sheetView tabSelected="1" workbookViewId="0">
      <selection activeCell="D7" sqref="D7"/>
    </sheetView>
  </sheetViews>
  <sheetFormatPr defaultColWidth="8.7109375" defaultRowHeight="14.45"/>
  <cols>
    <col min="2" max="3" width="33.28515625" customWidth="1"/>
    <col min="4" max="4" width="18.28515625" customWidth="1"/>
    <col min="5" max="5" width="29.28515625" customWidth="1"/>
    <col min="6" max="6" width="12.7109375" customWidth="1"/>
  </cols>
  <sheetData>
    <row r="1" spans="1:6">
      <c r="A1" s="1" t="s">
        <v>0</v>
      </c>
      <c r="B1" s="5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6">
      <c r="A2" s="2">
        <v>2004</v>
      </c>
      <c r="B2" s="4">
        <v>116.59166666666665</v>
      </c>
      <c r="C2" s="4">
        <f>(B2/B2)*100</f>
        <v>100</v>
      </c>
      <c r="D2" s="7" t="s">
        <v>6</v>
      </c>
      <c r="E2" s="6">
        <v>6.52</v>
      </c>
      <c r="F2" s="7" t="s">
        <v>6</v>
      </c>
    </row>
    <row r="3" spans="1:6">
      <c r="A3" s="2">
        <v>2005</v>
      </c>
      <c r="B3" s="4">
        <v>121.51666666666667</v>
      </c>
      <c r="C3" s="4">
        <f>(B3/B2)*100</f>
        <v>104.22414409263099</v>
      </c>
      <c r="D3" s="7">
        <f>((C3/C2)-1)*100</f>
        <v>4.2241440926309881</v>
      </c>
      <c r="E3" s="6">
        <v>6.73</v>
      </c>
      <c r="F3" s="7">
        <f>E3-E2</f>
        <v>0.21000000000000085</v>
      </c>
    </row>
    <row r="4" spans="1:6">
      <c r="A4" s="2">
        <v>2006</v>
      </c>
      <c r="B4" s="4">
        <v>126.27499999999999</v>
      </c>
      <c r="C4" s="4">
        <f>(B4/B2)*100</f>
        <v>108.30533914659424</v>
      </c>
      <c r="D4" s="7">
        <f>((C4/C3)-1)*100</f>
        <v>3.9157865862021524</v>
      </c>
      <c r="E4" s="6">
        <v>6.95</v>
      </c>
      <c r="F4" s="7">
        <f t="shared" ref="F4:F22" si="0">E4-E3</f>
        <v>0.21999999999999975</v>
      </c>
    </row>
    <row r="5" spans="1:6">
      <c r="A5" s="2">
        <v>2007</v>
      </c>
      <c r="B5" s="4">
        <v>131.56666666666669</v>
      </c>
      <c r="C5" s="4">
        <f>(B5/B2)*100</f>
        <v>112.84397112429423</v>
      </c>
      <c r="D5" s="7">
        <f t="shared" ref="D5:D22" si="1">((C5/C4)-1)*100</f>
        <v>4.1905893222464519</v>
      </c>
      <c r="E5" s="6">
        <v>7.16</v>
      </c>
      <c r="F5" s="7">
        <f t="shared" si="0"/>
        <v>0.20999999999999996</v>
      </c>
    </row>
    <row r="6" spans="1:6">
      <c r="A6" s="2">
        <v>2008</v>
      </c>
      <c r="B6" s="4">
        <v>136.41666666666669</v>
      </c>
      <c r="C6" s="4">
        <f>(B6/B2)*100</f>
        <v>117.00378814952472</v>
      </c>
      <c r="D6" s="7">
        <f t="shared" si="1"/>
        <v>3.6863440587788121</v>
      </c>
      <c r="E6" s="6">
        <v>6.89</v>
      </c>
      <c r="F6" s="7">
        <f t="shared" si="0"/>
        <v>-0.27000000000000046</v>
      </c>
    </row>
    <row r="7" spans="1:6">
      <c r="A7" s="2">
        <v>2009</v>
      </c>
      <c r="B7" s="4">
        <v>138.82500000000002</v>
      </c>
      <c r="C7" s="4">
        <f>(B7/B2)*100</f>
        <v>119.0694017582732</v>
      </c>
      <c r="D7" s="7">
        <f t="shared" si="1"/>
        <v>1.7654245571166793</v>
      </c>
      <c r="E7" s="6">
        <v>6.35</v>
      </c>
      <c r="F7" s="7">
        <f t="shared" si="0"/>
        <v>-0.54</v>
      </c>
    </row>
    <row r="8" spans="1:6">
      <c r="A8" s="2">
        <v>2010</v>
      </c>
      <c r="B8" s="4">
        <v>141.43333333333334</v>
      </c>
      <c r="C8" s="4">
        <f>(B8/B2)*100</f>
        <v>121.30655421342294</v>
      </c>
      <c r="D8" s="7">
        <f t="shared" si="1"/>
        <v>1.8788642775676712</v>
      </c>
      <c r="E8" s="6">
        <v>6.84</v>
      </c>
      <c r="F8" s="7">
        <f t="shared" si="0"/>
        <v>0.49000000000000021</v>
      </c>
    </row>
    <row r="9" spans="1:6">
      <c r="A9" s="2">
        <v>2011</v>
      </c>
      <c r="B9" s="4">
        <v>144.15</v>
      </c>
      <c r="C9" s="4">
        <f>(B9/B2)*100</f>
        <v>123.63662354370668</v>
      </c>
      <c r="D9" s="7">
        <f t="shared" si="1"/>
        <v>1.9208107471128777</v>
      </c>
      <c r="E9" s="6">
        <v>6.73</v>
      </c>
      <c r="F9" s="7">
        <f t="shared" si="0"/>
        <v>-0.10999999999999943</v>
      </c>
    </row>
    <row r="10" spans="1:6">
      <c r="A10" s="2">
        <v>2012</v>
      </c>
      <c r="B10" s="4">
        <v>146.4</v>
      </c>
      <c r="C10" s="4">
        <f>(B10/B2)*100</f>
        <v>125.56643556572085</v>
      </c>
      <c r="D10" s="7">
        <f t="shared" si="1"/>
        <v>1.5608740894901274</v>
      </c>
      <c r="E10" s="6">
        <v>6.76</v>
      </c>
      <c r="F10" s="7">
        <f t="shared" si="0"/>
        <v>2.9999999999999361E-2</v>
      </c>
    </row>
    <row r="11" spans="1:6">
      <c r="A11" s="2">
        <v>2013</v>
      </c>
      <c r="B11" s="4">
        <v>147.65833333333333</v>
      </c>
      <c r="C11" s="4">
        <f>(B11/B2)*100</f>
        <v>126.64570080766208</v>
      </c>
      <c r="D11" s="7">
        <f t="shared" si="1"/>
        <v>0.85951730418942773</v>
      </c>
      <c r="E11" s="6">
        <v>6.73</v>
      </c>
      <c r="F11" s="7">
        <f t="shared" si="0"/>
        <v>-2.9999999999999361E-2</v>
      </c>
    </row>
    <row r="12" spans="1:6">
      <c r="A12" s="2">
        <v>2014</v>
      </c>
      <c r="B12" s="4">
        <v>149.27500000000003</v>
      </c>
      <c r="C12" s="4">
        <f>(B12/B2)*100</f>
        <v>128.03230648273896</v>
      </c>
      <c r="D12" s="7">
        <f t="shared" si="1"/>
        <v>1.0948699136520412</v>
      </c>
      <c r="E12" s="6">
        <v>6.95</v>
      </c>
      <c r="F12" s="7">
        <f t="shared" si="0"/>
        <v>0.21999999999999975</v>
      </c>
    </row>
    <row r="13" spans="1:6">
      <c r="A13" s="2">
        <v>2015</v>
      </c>
      <c r="B13" s="4">
        <v>152.70833333333334</v>
      </c>
      <c r="C13" s="4">
        <f>(B13/B2)*100</f>
        <v>130.97705667929384</v>
      </c>
      <c r="D13" s="7">
        <f t="shared" si="1"/>
        <v>2.3000055825377785</v>
      </c>
      <c r="E13" s="6">
        <v>7.37</v>
      </c>
      <c r="F13" s="7">
        <f t="shared" si="0"/>
        <v>0.41999999999999993</v>
      </c>
    </row>
    <row r="14" spans="1:6">
      <c r="A14" s="2">
        <v>2016</v>
      </c>
      <c r="B14" s="4">
        <v>156.32499999999999</v>
      </c>
      <c r="C14" s="4">
        <f>(B14/B2)*100</f>
        <v>134.07905081838325</v>
      </c>
      <c r="D14" s="7">
        <f t="shared" si="1"/>
        <v>2.3683492496589409</v>
      </c>
      <c r="E14" s="6">
        <v>7.59</v>
      </c>
      <c r="F14" s="7">
        <f t="shared" si="0"/>
        <v>0.21999999999999975</v>
      </c>
    </row>
    <row r="15" spans="1:6">
      <c r="A15" s="2">
        <v>2017</v>
      </c>
      <c r="B15" s="4">
        <v>159.67499999999998</v>
      </c>
      <c r="C15" s="4">
        <f>(B15/B2)*100</f>
        <v>136.95232649560432</v>
      </c>
      <c r="D15" s="7">
        <f t="shared" si="1"/>
        <v>2.1429713737405987</v>
      </c>
      <c r="E15" s="6">
        <v>7.77</v>
      </c>
      <c r="F15" s="7">
        <f t="shared" si="0"/>
        <v>0.17999999999999972</v>
      </c>
    </row>
    <row r="16" spans="1:6">
      <c r="A16" s="2">
        <v>2018</v>
      </c>
      <c r="B16" s="4">
        <v>164.54166666666666</v>
      </c>
      <c r="C16" s="4">
        <f>(B16/B2)*100</f>
        <v>141.1264384247016</v>
      </c>
      <c r="D16" s="7">
        <f t="shared" si="1"/>
        <v>3.0478576274724611</v>
      </c>
      <c r="E16" s="6">
        <v>7.85</v>
      </c>
      <c r="F16" s="7">
        <f t="shared" si="0"/>
        <v>8.0000000000000071E-2</v>
      </c>
    </row>
    <row r="17" spans="1:6">
      <c r="A17" s="2">
        <v>2019</v>
      </c>
      <c r="B17" s="4">
        <v>170.34166666666667</v>
      </c>
      <c r="C17" s="4">
        <f>(B17/B2)*100</f>
        <v>146.10106497033811</v>
      </c>
      <c r="D17" s="7">
        <f t="shared" si="1"/>
        <v>3.5249430235502865</v>
      </c>
      <c r="E17" s="6">
        <v>7.73</v>
      </c>
      <c r="F17" s="7">
        <f t="shared" si="0"/>
        <v>-0.11999999999999922</v>
      </c>
    </row>
    <row r="18" spans="1:6">
      <c r="A18" s="2">
        <v>2020</v>
      </c>
      <c r="B18" s="4">
        <v>173.95833333333334</v>
      </c>
      <c r="C18" s="4">
        <f>(B18/B2)*100</f>
        <v>149.2030591094275</v>
      </c>
      <c r="D18" s="7">
        <f t="shared" si="1"/>
        <v>2.1231837972701673</v>
      </c>
      <c r="E18" s="6">
        <v>7.81</v>
      </c>
      <c r="F18" s="7">
        <f t="shared" si="0"/>
        <v>7.9999999999999183E-2</v>
      </c>
    </row>
    <row r="19" spans="1:6">
      <c r="A19" s="2">
        <v>2021</v>
      </c>
      <c r="B19" s="4">
        <v>183.02500000000001</v>
      </c>
      <c r="C19" s="4">
        <f>(B19/B2)*100</f>
        <v>156.97948681295119</v>
      </c>
      <c r="D19" s="7">
        <f t="shared" si="1"/>
        <v>5.2119760479041988</v>
      </c>
      <c r="E19" s="6">
        <v>8.94</v>
      </c>
      <c r="F19" s="7">
        <f t="shared" si="0"/>
        <v>1.1299999999999999</v>
      </c>
    </row>
    <row r="20" spans="1:6">
      <c r="A20" s="2">
        <v>2022</v>
      </c>
      <c r="B20" s="4">
        <v>193.09166666666667</v>
      </c>
      <c r="C20" s="4">
        <f>(B20/B2)*100</f>
        <v>165.6136087484812</v>
      </c>
      <c r="D20" s="7">
        <f t="shared" si="1"/>
        <v>5.5001593589218301</v>
      </c>
      <c r="E20" s="6">
        <v>8.4499999999999993</v>
      </c>
      <c r="F20" s="7">
        <f t="shared" si="0"/>
        <v>-0.49000000000000021</v>
      </c>
    </row>
    <row r="21" spans="1:6">
      <c r="A21" s="2">
        <v>2023</v>
      </c>
      <c r="B21" s="4">
        <v>206.89166666666668</v>
      </c>
      <c r="C21" s="4">
        <f>(B21/B2)*100</f>
        <v>177.44978915016802</v>
      </c>
      <c r="D21" s="7">
        <f t="shared" si="1"/>
        <v>7.1468646152518245</v>
      </c>
      <c r="E21" s="6">
        <v>8.27</v>
      </c>
      <c r="F21" s="7">
        <f t="shared" si="0"/>
        <v>-0.17999999999999972</v>
      </c>
    </row>
    <row r="22" spans="1:6">
      <c r="A22" s="8">
        <v>2024</v>
      </c>
      <c r="B22" s="9">
        <v>218.50833333333335</v>
      </c>
      <c r="C22" s="9">
        <f>(B22/B2)*100</f>
        <v>187.41333714530774</v>
      </c>
      <c r="D22" s="10">
        <f t="shared" si="1"/>
        <v>5.6148547951826444</v>
      </c>
      <c r="E22" s="11">
        <v>7.54</v>
      </c>
      <c r="F22" s="10">
        <f>E22-E21</f>
        <v>-0.72999999999999954</v>
      </c>
    </row>
    <row r="23" spans="1:6">
      <c r="A23" s="12">
        <v>2025</v>
      </c>
      <c r="B23" s="13">
        <v>231.33</v>
      </c>
      <c r="C23" s="13">
        <v>198.41</v>
      </c>
      <c r="D23" s="14">
        <f>((C23/C22)-1)*100</f>
        <v>5.8675988711337945</v>
      </c>
      <c r="E23" s="15">
        <v>8.34</v>
      </c>
      <c r="F23" s="14">
        <f>E23-E22</f>
        <v>0.79999999999999982</v>
      </c>
    </row>
    <row r="24" spans="1:6">
      <c r="A24" s="12">
        <v>2026</v>
      </c>
      <c r="B24" s="13">
        <v>244.91</v>
      </c>
      <c r="C24" s="13">
        <v>210.06</v>
      </c>
      <c r="D24" s="14">
        <f>((C24/C23)-1)*100</f>
        <v>5.8716798548460236</v>
      </c>
      <c r="E24" s="15">
        <v>8.43</v>
      </c>
      <c r="F24" s="14">
        <f>E24-E23</f>
        <v>8.9999999999999858E-2</v>
      </c>
    </row>
    <row r="25" spans="1:6">
      <c r="A25" s="12">
        <v>2027</v>
      </c>
      <c r="B25" s="13">
        <v>259.27999999999997</v>
      </c>
      <c r="C25" s="13">
        <v>222.38</v>
      </c>
      <c r="D25" s="14">
        <f>((C25/C24)-1)*100</f>
        <v>5.8649909549652435</v>
      </c>
      <c r="E25" s="15">
        <v>8.52</v>
      </c>
      <c r="F25" s="14">
        <f>E25-E24</f>
        <v>8.9999999999999858E-2</v>
      </c>
    </row>
    <row r="26" spans="1:6">
      <c r="A26" s="12">
        <v>2028</v>
      </c>
      <c r="B26" s="13">
        <v>274.5</v>
      </c>
      <c r="C26" s="13">
        <v>235.43</v>
      </c>
      <c r="D26" s="14">
        <f>((C26/C25)-1)*100</f>
        <v>5.8683334832269063</v>
      </c>
      <c r="E26" s="15">
        <v>8.61</v>
      </c>
      <c r="F26" s="14">
        <f>E26-E25</f>
        <v>8.9999999999999858E-2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Nashed Sami Hoque</dc:creator>
  <cp:keywords/>
  <dc:description/>
  <cp:lastModifiedBy>Denzel Joseph</cp:lastModifiedBy>
  <cp:revision/>
  <dcterms:created xsi:type="dcterms:W3CDTF">2026-01-29T23:09:37Z</dcterms:created>
  <dcterms:modified xsi:type="dcterms:W3CDTF">2026-02-06T14:48:55Z</dcterms:modified>
  <cp:category/>
  <cp:contentStatus/>
</cp:coreProperties>
</file>