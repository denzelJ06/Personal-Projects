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https://qmulprod-my.sharepoint.com/personal/ap25084_qmul_ac_uk/Documents/Project 4 (Option 2; Team A)/Clean Datasets/"/>
    </mc:Choice>
  </mc:AlternateContent>
  <xr:revisionPtr revIDLastSave="47" documentId="8_{76B9F7E3-DF6F-4D8E-942E-159F21B5F80E}" xr6:coauthVersionLast="47" xr6:coauthVersionMax="47" xr10:uidLastSave="{B5274864-01E5-4B45-A13E-32CC1D22921F}"/>
  <bookViews>
    <workbookView xWindow="-110" yWindow="-110" windowWidth="19420" windowHeight="11500" xr2:uid="{00000000-000D-0000-FFFF-FFFF00000000}"/>
  </bookViews>
  <sheets>
    <sheet name="Table 37" sheetId="57" r:id="rId1"/>
  </sheet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57" l="1"/>
  <c r="F25" i="57"/>
  <c r="F24" i="57"/>
  <c r="F23" i="57"/>
  <c r="F22" i="57"/>
  <c r="F21" i="57"/>
  <c r="F20" i="57"/>
  <c r="F19" i="57"/>
  <c r="F18" i="57"/>
  <c r="F17" i="57"/>
  <c r="F16" i="57"/>
  <c r="F15" i="57"/>
  <c r="F14" i="57"/>
  <c r="F13" i="57"/>
  <c r="F12" i="57"/>
  <c r="F11" i="57"/>
  <c r="F10" i="57"/>
  <c r="F9" i="57"/>
  <c r="F8" i="57"/>
  <c r="F7" i="57"/>
  <c r="F6" i="57"/>
  <c r="F5" i="57"/>
</calcChain>
</file>

<file path=xl/sharedStrings.xml><?xml version="1.0" encoding="utf-8"?>
<sst xmlns="http://schemas.openxmlformats.org/spreadsheetml/2006/main" count="119" uniqueCount="119">
  <si>
    <t>aggregate number</t>
  </si>
  <si>
    <t>cdid</t>
  </si>
  <si>
    <t xml:space="preserve">L522  </t>
  </si>
  <si>
    <t xml:space="preserve">index date   </t>
  </si>
  <si>
    <t>name</t>
  </si>
  <si>
    <t>CPIH ALL ITEMS</t>
  </si>
  <si>
    <t>Year</t>
  </si>
  <si>
    <t>CPIH</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</si>
  <si>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</si>
  <si>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</si>
  <si>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</si>
  <si>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</si>
  <si>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</si>
  <si>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</si>
  <si>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</si>
  <si>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</si>
  <si>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</si>
  <si>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</si>
  <si>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</si>
  <si>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</si>
  <si>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</si>
  <si>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</si>
  <si>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</si>
  <si>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</si>
  <si>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</si>
  <si>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</si>
  <si>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</si>
  <si>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</si>
  <si>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</si>
  <si>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</si>
  <si>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</si>
  <si>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</si>
  <si>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</si>
  <si>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</si>
  <si>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</si>
  <si>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</si>
  <si>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</si>
  <si>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</si>
  <si>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</si>
  <si>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</si>
  <si>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</si>
  <si>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</si>
  <si>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</si>
  <si>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</si>
  <si>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</si>
  <si>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</si>
  <si>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</si>
  <si>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</si>
  <si>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</si>
  <si>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</si>
  <si>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</si>
  <si>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</si>
  <si>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</si>
  <si>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</si>
  <si>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</si>
  <si>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</si>
  <si>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</si>
  <si>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</si>
  <si>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</si>
  <si>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</si>
  <si>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</si>
  <si>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</si>
  <si>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</si>
  <si>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</si>
  <si>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</si>
  <si>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</si>
  <si>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</si>
  <si>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</si>
  <si>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</si>
  <si>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</si>
  <si>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</si>
  <si>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</si>
  <si>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</si>
  <si>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</si>
  <si>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</si>
  <si>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</si>
  <si>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</si>
  <si>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</si>
  <si>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</si>
  <si>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</si>
  <si>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</si>
  <si>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</si>
  <si>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</si>
  <si>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</si>
  <si>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</si>
  <si>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</si>
  <si>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</si>
  <si>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</si>
  <si>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</si>
  <si>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</si>
  <si>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</si>
  <si>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</si>
  <si>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r>
      <t xml:space="preserve">Key:    </t>
    </r>
    <r>
      <rPr>
        <sz val="11"/>
        <rFont val="Calibri"/>
        <family val="2"/>
      </rPr>
      <t>- zero or negligible ..  not available (nec) not elsewhere covered</t>
    </r>
  </si>
  <si>
    <t xml:space="preserve">A minor error has been identified in the consumer price inflation item for ‘package holidays’. This error has no impact on the published headline </t>
  </si>
  <si>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</si>
  <si>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</si>
  <si>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t xml:space="preserve">May 2025 for both CPIH and CPI. In line with our consumer prices corrections and revisions policy, these statistics will not be amended.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</si>
  <si>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</si>
  <si>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</si>
  <si>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</si>
  <si>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</si>
  <si>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 xml:space="preserve">This error is isolated to the imputation process of three seasonal items in July 2025 only. It was identified as part of a programme of work to modernise the production of consumer prices inflation, </t>
  </si>
  <si>
    <t>including building a more robust production system as we move towards incorporating scanner data in 2026.</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</si>
  <si>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</si>
  <si>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</si>
  <si>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</si>
  <si>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</si>
  <si>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</si>
  <si>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More details on the lower-level impacts can be found in our CPIH microdata release: </t>
  </si>
  <si>
    <t>https://www.ons.gov.uk/economy/inflationandpriceindices/datasets/consumerpriceindicescpiandretailpricesindexrpiitemindicesandpricequotes</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</si>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</sst>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2"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0"/>
      <name val="Arial"/>
      <family val="2"/>
    </font>
    <font>
      <u/>
      <sz val="10"/>
      <color indexed="12"/>
      <name val="Arial"/>
      <family val="2"/>
    </font>
    <font>
      <sz val="10"/>
      <name val="Arial"/>
      <family val="2"/>
    </font>
    <font>
      <sz val="11"/>
      <name val="Calibri"/>
      <family val="2"/>
    </font>
    <font>
      <sz val="10"/>
      <name val="Arial"/>
      <family val="2"/>
    </font>
    <font>
      <sz val="7"/>
      <name val="Arial Narrow"/>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rgb="FF0000FF"/>
      <name val="Calibri"/>
      <family val="2"/>
      <scheme val="minor"/>
    </font>
    <font>
      <sz val="11"/>
      <color theme="1"/>
      <name val="Calibri"/>
      <family val="2"/>
    </font>
    <font>
      <sz val="11"/>
      <color rgb="FF000000"/>
      <name val="Calibri"/>
      <family val="2"/>
      <scheme val="minor"/>
    </font>
    <font>
      <sz val="12"/>
      <color theme="1"/>
      <name val="Calibri"/>
      <family val="2"/>
      <scheme val="minor"/>
    </font>
    <font>
      <sz val="12"/>
      <color theme="1"/>
      <name val="Calibri"/>
      <family val="2"/>
    </font>
    <font>
      <u/>
      <sz val="11"/>
      <color theme="1"/>
      <name val="Calibri"/>
      <family val="2"/>
      <scheme val="minor"/>
    </font>
    <font>
      <sz val="11"/>
      <color rgb="FF000000"/>
      <name val="Aptos Narrow"/>
      <family val="2"/>
    </font>
  </fonts>
  <fills count="37">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22">
    <border>
      <left/>
      <right/>
      <top/>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style="thin">
        <color indexed="64"/>
      </bottom>
      <diagonal/>
    </border>
  </borders>
  <cellStyleXfs count="127">
    <xf numFmtId="0" fontId="0" fillId="0" borderId="0"/>
    <xf numFmtId="0" fontId="43" fillId="6" borderId="0" applyNumberFormat="0" applyBorder="0" applyAlignment="0" applyProtection="0"/>
    <xf numFmtId="0" fontId="43" fillId="6" borderId="0" applyNumberFormat="0" applyBorder="0" applyAlignment="0" applyProtection="0"/>
    <xf numFmtId="0" fontId="43" fillId="7" borderId="0" applyNumberFormat="0" applyBorder="0" applyAlignment="0" applyProtection="0"/>
    <xf numFmtId="0" fontId="43" fillId="7" borderId="0" applyNumberFormat="0" applyBorder="0" applyAlignment="0" applyProtection="0"/>
    <xf numFmtId="0" fontId="43" fillId="8" borderId="0" applyNumberFormat="0" applyBorder="0" applyAlignment="0" applyProtection="0"/>
    <xf numFmtId="0" fontId="43" fillId="8" borderId="0" applyNumberFormat="0" applyBorder="0" applyAlignment="0" applyProtection="0"/>
    <xf numFmtId="0" fontId="43" fillId="9" borderId="0" applyNumberFormat="0" applyBorder="0" applyAlignment="0" applyProtection="0"/>
    <xf numFmtId="0" fontId="43" fillId="9" borderId="0" applyNumberFormat="0" applyBorder="0" applyAlignment="0" applyProtection="0"/>
    <xf numFmtId="0" fontId="43" fillId="10" borderId="0" applyNumberFormat="0" applyBorder="0" applyAlignment="0" applyProtection="0"/>
    <xf numFmtId="0" fontId="43" fillId="10" borderId="0" applyNumberFormat="0" applyBorder="0" applyAlignment="0" applyProtection="0"/>
    <xf numFmtId="0" fontId="43" fillId="11" borderId="0" applyNumberFormat="0" applyBorder="0" applyAlignment="0" applyProtection="0"/>
    <xf numFmtId="0" fontId="43" fillId="11"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3" borderId="0" applyNumberFormat="0" applyBorder="0" applyAlignment="0" applyProtection="0"/>
    <xf numFmtId="0" fontId="43" fillId="13" borderId="0" applyNumberFormat="0" applyBorder="0" applyAlignment="0" applyProtection="0"/>
    <xf numFmtId="0" fontId="43" fillId="14" borderId="0" applyNumberFormat="0" applyBorder="0" applyAlignment="0" applyProtection="0"/>
    <xf numFmtId="0" fontId="43" fillId="14"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43" fillId="17" borderId="0" applyNumberFormat="0" applyBorder="0" applyAlignment="0" applyProtection="0"/>
    <xf numFmtId="0" fontId="43" fillId="17"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4" fillId="18" borderId="0" applyNumberFormat="0" applyBorder="0" applyAlignment="0" applyProtection="0"/>
    <xf numFmtId="0" fontId="43" fillId="18"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4" fillId="19" borderId="0" applyNumberFormat="0" applyBorder="0" applyAlignment="0" applyProtection="0"/>
    <xf numFmtId="0" fontId="43" fillId="19"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4" fillId="20" borderId="0" applyNumberFormat="0" applyBorder="0" applyAlignment="0" applyProtection="0"/>
    <xf numFmtId="0" fontId="43" fillId="20" borderId="0" applyNumberFormat="0" applyBorder="0" applyAlignment="0" applyProtection="0"/>
    <xf numFmtId="0" fontId="44" fillId="21" borderId="0" applyNumberFormat="0" applyBorder="0" applyAlignment="0" applyProtection="0"/>
    <xf numFmtId="0" fontId="44" fillId="21" borderId="0" applyNumberFormat="0" applyBorder="0" applyAlignment="0" applyProtection="0"/>
    <xf numFmtId="0" fontId="44" fillId="21" borderId="0" applyNumberFormat="0" applyBorder="0" applyAlignment="0" applyProtection="0"/>
    <xf numFmtId="0" fontId="43" fillId="21" borderId="0" applyNumberFormat="0" applyBorder="0" applyAlignment="0" applyProtection="0"/>
    <xf numFmtId="0" fontId="44" fillId="22" borderId="0" applyNumberFormat="0" applyBorder="0" applyAlignment="0" applyProtection="0"/>
    <xf numFmtId="0" fontId="44" fillId="22" borderId="0" applyNumberFormat="0" applyBorder="0" applyAlignment="0" applyProtection="0"/>
    <xf numFmtId="0" fontId="44" fillId="22" borderId="0" applyNumberFormat="0" applyBorder="0" applyAlignment="0" applyProtection="0"/>
    <xf numFmtId="0" fontId="43" fillId="22" borderId="0" applyNumberFormat="0" applyBorder="0" applyAlignment="0" applyProtection="0"/>
    <xf numFmtId="0" fontId="44" fillId="23" borderId="0" applyNumberFormat="0" applyBorder="0" applyAlignment="0" applyProtection="0"/>
    <xf numFmtId="0" fontId="44" fillId="23" borderId="0" applyNumberFormat="0" applyBorder="0" applyAlignment="0" applyProtection="0"/>
    <xf numFmtId="0" fontId="44" fillId="23" borderId="0" applyNumberFormat="0" applyBorder="0" applyAlignment="0" applyProtection="0"/>
    <xf numFmtId="0" fontId="43" fillId="23" borderId="0" applyNumberFormat="0" applyBorder="0" applyAlignment="0" applyProtection="0"/>
    <xf numFmtId="0" fontId="44" fillId="24" borderId="0" applyNumberFormat="0" applyBorder="0" applyAlignment="0" applyProtection="0"/>
    <xf numFmtId="0" fontId="44" fillId="25" borderId="0" applyNumberFormat="0" applyBorder="0" applyAlignment="0" applyProtection="0"/>
    <xf numFmtId="0" fontId="44"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44" fillId="29" borderId="0" applyNumberFormat="0" applyBorder="0" applyAlignment="0" applyProtection="0"/>
    <xf numFmtId="0" fontId="45" fillId="30" borderId="0" applyNumberFormat="0" applyBorder="0" applyAlignment="0" applyProtection="0"/>
    <xf numFmtId="0" fontId="46" fillId="31" borderId="12" applyNumberFormat="0" applyAlignment="0" applyProtection="0"/>
    <xf numFmtId="0" fontId="47" fillId="32" borderId="13" applyNumberFormat="0" applyAlignment="0" applyProtection="0"/>
    <xf numFmtId="0" fontId="48" fillId="0" borderId="0" applyNumberFormat="0" applyFill="0" applyBorder="0" applyAlignment="0" applyProtection="0"/>
    <xf numFmtId="0" fontId="49" fillId="33" borderId="0" applyNumberFormat="0" applyBorder="0" applyAlignment="0" applyProtection="0"/>
    <xf numFmtId="0" fontId="50" fillId="0" borderId="14" applyNumberFormat="0" applyFill="0" applyAlignment="0" applyProtection="0"/>
    <xf numFmtId="0" fontId="51" fillId="0" borderId="15" applyNumberFormat="0" applyFill="0" applyAlignment="0" applyProtection="0"/>
    <xf numFmtId="0" fontId="52" fillId="0" borderId="16" applyNumberFormat="0" applyFill="0" applyAlignment="0" applyProtection="0"/>
    <xf numFmtId="0" fontId="52" fillId="0" borderId="0" applyNumberFormat="0" applyFill="0" applyBorder="0" applyAlignment="0" applyProtection="0"/>
    <xf numFmtId="0" fontId="38" fillId="0" borderId="0" applyNumberFormat="0" applyFill="0" applyBorder="0" applyAlignment="0" applyProtection="0">
      <alignment vertical="top"/>
      <protection locked="0"/>
    </xf>
    <xf numFmtId="0" fontId="53" fillId="34" borderId="12" applyNumberFormat="0" applyAlignment="0" applyProtection="0"/>
    <xf numFmtId="0" fontId="54" fillId="0" borderId="17" applyNumberFormat="0" applyFill="0" applyAlignment="0" applyProtection="0"/>
    <xf numFmtId="0" fontId="55" fillId="35" borderId="0" applyNumberFormat="0" applyBorder="0" applyAlignment="0" applyProtection="0"/>
    <xf numFmtId="0" fontId="55" fillId="35" borderId="0" applyNumberFormat="0" applyBorder="0" applyAlignment="0" applyProtection="0"/>
    <xf numFmtId="0" fontId="55" fillId="35" borderId="0" applyNumberFormat="0" applyBorder="0" applyAlignment="0" applyProtection="0"/>
    <xf numFmtId="0" fontId="56" fillId="35" borderId="0" applyNumberFormat="0" applyBorder="0" applyAlignment="0" applyProtection="0"/>
    <xf numFmtId="0" fontId="39" fillId="0" borderId="0"/>
    <xf numFmtId="0" fontId="43" fillId="0" borderId="0"/>
    <xf numFmtId="0" fontId="43" fillId="0" borderId="0"/>
    <xf numFmtId="0" fontId="39" fillId="0" borderId="0"/>
    <xf numFmtId="0" fontId="41" fillId="0" borderId="0"/>
    <xf numFmtId="0" fontId="39" fillId="0" borderId="0"/>
    <xf numFmtId="0" fontId="39" fillId="0" borderId="0"/>
    <xf numFmtId="0" fontId="57" fillId="0" borderId="0"/>
    <xf numFmtId="0" fontId="43" fillId="36" borderId="18" applyNumberFormat="0" applyFont="0" applyAlignment="0" applyProtection="0"/>
    <xf numFmtId="0" fontId="43" fillId="36" borderId="18" applyNumberFormat="0" applyFont="0" applyAlignment="0" applyProtection="0"/>
    <xf numFmtId="0" fontId="43" fillId="36" borderId="18" applyNumberFormat="0" applyFont="0" applyAlignment="0" applyProtection="0"/>
    <xf numFmtId="0" fontId="58" fillId="31" borderId="19" applyNumberFormat="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20" applyNumberFormat="0" applyFill="0" applyAlignment="0" applyProtection="0"/>
    <xf numFmtId="0" fontId="62" fillId="0" borderId="0" applyNumberFormat="0" applyFill="0" applyBorder="0" applyAlignment="0" applyProtection="0"/>
    <xf numFmtId="0" fontId="36" fillId="0" borderId="0"/>
    <xf numFmtId="0" fontId="35" fillId="0" borderId="0"/>
    <xf numFmtId="0" fontId="34" fillId="0" borderId="0"/>
    <xf numFmtId="0" fontId="33" fillId="0" borderId="0"/>
    <xf numFmtId="0" fontId="33"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
    <xf numFmtId="0" fontId="0" fillId="0" borderId="0" xfId="0"/>
    <xf numFmtId="0" fontId="63" fillId="0" borderId="0" xfId="0" applyFont="1"/>
    <xf numFmtId="0" fontId="64" fillId="0" borderId="0" xfId="0" applyFont="1"/>
    <xf numFmtId="0" fontId="0" fillId="0" borderId="0" xfId="0" applyAlignment="1">
      <alignment horizontal="left"/>
    </xf>
    <xf numFmtId="0" fontId="0" fillId="0" borderId="0" xfId="0" applyAlignment="1">
      <alignment horizontal="right"/>
    </xf>
    <xf numFmtId="0" fontId="63" fillId="0" borderId="0" xfId="0" applyFont="1" applyAlignment="1">
      <alignment horizontal="right"/>
    </xf>
    <xf numFmtId="0" fontId="64" fillId="0" borderId="0" xfId="0" applyFont="1" applyAlignment="1">
      <alignment horizontal="right"/>
    </xf>
    <xf numFmtId="0" fontId="0" fillId="0" borderId="0" xfId="0" applyAlignment="1">
      <alignment horizontal="center"/>
    </xf>
    <xf numFmtId="0" fontId="63" fillId="0" borderId="0" xfId="75" applyFont="1" applyAlignment="1">
      <alignment horizontal="left" vertical="center"/>
    </xf>
    <xf numFmtId="0" fontId="63" fillId="0" borderId="0" xfId="75" applyFont="1" applyAlignment="1">
      <alignment horizontal="left"/>
    </xf>
    <xf numFmtId="0" fontId="0" fillId="0" borderId="0" xfId="0" applyProtection="1">
      <protection locked="0"/>
    </xf>
    <xf numFmtId="0" fontId="63" fillId="0" borderId="0" xfId="0" applyFont="1" applyProtection="1">
      <protection locked="0"/>
    </xf>
    <xf numFmtId="0" fontId="64" fillId="0" borderId="0" xfId="0" applyFont="1" applyProtection="1">
      <protection locked="0"/>
    </xf>
    <xf numFmtId="0" fontId="0" fillId="2" borderId="1" xfId="0" applyFill="1" applyBorder="1" applyAlignment="1" applyProtection="1">
      <alignment horizontal="right"/>
      <protection locked="0"/>
    </xf>
    <xf numFmtId="0" fontId="37" fillId="2" borderId="1" xfId="0" applyFont="1" applyFill="1" applyBorder="1" applyAlignment="1">
      <alignment horizontal="center"/>
    </xf>
    <xf numFmtId="0" fontId="0" fillId="3" borderId="1" xfId="0" applyFill="1" applyBorder="1" applyProtection="1">
      <protection locked="0"/>
    </xf>
    <xf numFmtId="164" fontId="63" fillId="0" borderId="0" xfId="0" applyNumberFormat="1" applyFont="1" applyProtection="1">
      <protection locked="0"/>
    </xf>
    <xf numFmtId="164" fontId="63" fillId="0" borderId="0" xfId="0" applyNumberFormat="1" applyFont="1"/>
    <xf numFmtId="0" fontId="63" fillId="0" borderId="0" xfId="0" applyFont="1" applyAlignment="1" applyProtection="1">
      <alignment horizontal="center"/>
      <protection locked="0"/>
    </xf>
    <xf numFmtId="0" fontId="0" fillId="4" borderId="5" xfId="0" applyFill="1" applyBorder="1" applyAlignment="1" applyProtection="1">
      <alignment horizontal="right"/>
      <protection locked="0"/>
    </xf>
    <xf numFmtId="0" fontId="0" fillId="0" borderId="3" xfId="0" applyBorder="1" applyAlignment="1" applyProtection="1">
      <alignment horizontal="right"/>
      <protection locked="0"/>
    </xf>
    <xf numFmtId="0" fontId="0" fillId="0" borderId="0" xfId="0" applyAlignment="1" applyProtection="1">
      <alignment horizontal="center"/>
      <protection locked="0"/>
    </xf>
    <xf numFmtId="0" fontId="39" fillId="0" borderId="0" xfId="0" applyFont="1" applyAlignment="1" applyProtection="1">
      <alignment horizontal="center"/>
      <protection locked="0"/>
    </xf>
    <xf numFmtId="164" fontId="63" fillId="0" borderId="0" xfId="0" applyNumberFormat="1" applyFont="1" applyAlignment="1">
      <alignment horizontal="right"/>
    </xf>
    <xf numFmtId="164" fontId="42" fillId="5" borderId="9" xfId="0" applyNumberFormat="1" applyFont="1" applyFill="1" applyBorder="1" applyAlignment="1">
      <alignment horizontal="center" wrapText="1"/>
    </xf>
    <xf numFmtId="0" fontId="0" fillId="0" borderId="0" xfId="0" applyAlignment="1">
      <alignment vertical="center"/>
    </xf>
    <xf numFmtId="0" fontId="0" fillId="0" borderId="0" xfId="0" applyAlignment="1">
      <alignment horizontal="center" vertical="center"/>
    </xf>
    <xf numFmtId="164" fontId="39" fillId="3" borderId="4" xfId="0" applyNumberFormat="1" applyFont="1" applyFill="1" applyBorder="1" applyAlignment="1">
      <alignment horizontal="center"/>
    </xf>
    <xf numFmtId="0" fontId="0" fillId="3" borderId="2" xfId="0" applyFill="1" applyBorder="1" applyAlignment="1" applyProtection="1">
      <alignment horizontal="right"/>
      <protection locked="0"/>
    </xf>
    <xf numFmtId="17" fontId="0" fillId="0" borderId="6" xfId="0" applyNumberFormat="1" applyBorder="1"/>
    <xf numFmtId="0" fontId="0" fillId="0" borderId="0" xfId="0" applyAlignment="1">
      <alignment horizontal="right" vertical="center"/>
    </xf>
    <xf numFmtId="17" fontId="63" fillId="0" borderId="6" xfId="0" applyNumberFormat="1" applyFont="1" applyBorder="1" applyAlignment="1">
      <alignment horizontal="right"/>
    </xf>
    <xf numFmtId="164" fontId="0" fillId="0" borderId="0" xfId="0" applyNumberFormat="1"/>
    <xf numFmtId="164" fontId="0" fillId="0" borderId="7" xfId="0" applyNumberFormat="1" applyBorder="1"/>
    <xf numFmtId="164" fontId="0" fillId="0" borderId="0" xfId="0" applyNumberFormat="1" applyAlignment="1">
      <alignment horizontal="right"/>
    </xf>
    <xf numFmtId="17" fontId="63" fillId="0" borderId="6" xfId="0" applyNumberFormat="1" applyFont="1" applyBorder="1"/>
    <xf numFmtId="0" fontId="61" fillId="0" borderId="0" xfId="0" applyFont="1" applyAlignment="1" applyProtection="1">
      <alignment horizontal="center"/>
      <protection locked="0"/>
    </xf>
    <xf numFmtId="0" fontId="0" fillId="0" borderId="6" xfId="0" applyBorder="1"/>
    <xf numFmtId="0" fontId="63" fillId="0" borderId="6" xfId="0" applyFont="1" applyBorder="1"/>
    <xf numFmtId="17" fontId="64" fillId="0" borderId="0" xfId="0" applyNumberFormat="1" applyFont="1" applyAlignment="1">
      <alignment horizontal="right"/>
    </xf>
    <xf numFmtId="0" fontId="63" fillId="0" borderId="6" xfId="0" applyFont="1" applyBorder="1" applyProtection="1">
      <protection locked="0"/>
    </xf>
    <xf numFmtId="0" fontId="0" fillId="0" borderId="6" xfId="0" applyBorder="1" applyAlignment="1">
      <alignment horizontal="right"/>
    </xf>
    <xf numFmtId="17" fontId="63" fillId="0" borderId="6" xfId="0" applyNumberFormat="1" applyFont="1" applyBorder="1" applyProtection="1">
      <protection locked="0"/>
    </xf>
    <xf numFmtId="0" fontId="63" fillId="0" borderId="8" xfId="0" applyFont="1" applyBorder="1"/>
    <xf numFmtId="0" fontId="63" fillId="0" borderId="8" xfId="0" applyFont="1" applyBorder="1" applyAlignment="1">
      <alignment horizontal="right"/>
    </xf>
    <xf numFmtId="17" fontId="63" fillId="0" borderId="8" xfId="0" applyNumberFormat="1" applyFont="1" applyBorder="1" applyAlignment="1">
      <alignment horizontal="right"/>
    </xf>
    <xf numFmtId="0" fontId="63" fillId="0" borderId="0" xfId="75" applyFont="1" applyAlignment="1">
      <alignment horizontal="right"/>
    </xf>
    <xf numFmtId="0" fontId="66" fillId="0" borderId="0" xfId="0" applyFont="1" applyAlignment="1">
      <alignment vertical="center"/>
    </xf>
    <xf numFmtId="0" fontId="0" fillId="0" borderId="0" xfId="0" applyAlignment="1" applyProtection="1">
      <alignment horizontal="right"/>
      <protection locked="0"/>
    </xf>
    <xf numFmtId="164" fontId="43" fillId="0" borderId="0" xfId="78" applyNumberFormat="1" applyFont="1"/>
    <xf numFmtId="164" fontId="43" fillId="0" borderId="7" xfId="78" applyNumberFormat="1" applyFont="1" applyBorder="1"/>
    <xf numFmtId="164" fontId="67" fillId="0" borderId="0" xfId="0" applyNumberFormat="1" applyFont="1"/>
    <xf numFmtId="164" fontId="67" fillId="0" borderId="7" xfId="0" applyNumberFormat="1" applyFont="1" applyBorder="1"/>
    <xf numFmtId="164" fontId="43" fillId="0" borderId="0" xfId="78" applyNumberFormat="1" applyFont="1" applyAlignment="1">
      <alignment horizontal="right"/>
    </xf>
    <xf numFmtId="164" fontId="66" fillId="0" borderId="0" xfId="78" applyNumberFormat="1" applyFont="1" applyAlignment="1">
      <alignment horizontal="right"/>
    </xf>
    <xf numFmtId="164" fontId="66" fillId="0" borderId="0" xfId="78" applyNumberFormat="1" applyFont="1"/>
    <xf numFmtId="164" fontId="43" fillId="0" borderId="0" xfId="90" applyNumberFormat="1" applyFont="1" applyAlignment="1">
      <alignment horizontal="right"/>
    </xf>
    <xf numFmtId="164" fontId="43" fillId="0" borderId="0" xfId="91" applyNumberFormat="1" applyFont="1"/>
    <xf numFmtId="164" fontId="43" fillId="0" borderId="0" xfId="95" applyNumberFormat="1" applyFont="1"/>
    <xf numFmtId="164" fontId="43" fillId="0" borderId="0" xfId="97" applyNumberFormat="1" applyFont="1"/>
    <xf numFmtId="164" fontId="43" fillId="0" borderId="0" xfId="98" applyNumberFormat="1" applyFont="1" applyAlignment="1">
      <alignment horizontal="right"/>
    </xf>
    <xf numFmtId="164" fontId="43" fillId="0" borderId="0" xfId="99" applyNumberFormat="1" applyFont="1"/>
    <xf numFmtId="164" fontId="43" fillId="0" borderId="0" xfId="100" applyNumberFormat="1" applyFont="1"/>
    <xf numFmtId="164" fontId="43" fillId="0" borderId="0" xfId="101" applyNumberFormat="1" applyFont="1" applyAlignment="1">
      <alignment horizontal="right"/>
    </xf>
    <xf numFmtId="164" fontId="66" fillId="0" borderId="0" xfId="102" applyNumberFormat="1" applyFont="1" applyAlignment="1">
      <alignment horizontal="right"/>
    </xf>
    <xf numFmtId="164" fontId="43" fillId="0" borderId="0" xfId="103" applyNumberFormat="1" applyFont="1"/>
    <xf numFmtId="164" fontId="43" fillId="0" borderId="0" xfId="104" applyNumberFormat="1" applyFont="1"/>
    <xf numFmtId="164" fontId="43" fillId="0" borderId="7" xfId="105" applyNumberFormat="1" applyFont="1" applyBorder="1" applyAlignment="1">
      <alignment horizontal="right"/>
    </xf>
    <xf numFmtId="164" fontId="43" fillId="0" borderId="0" xfId="106" applyNumberFormat="1" applyFont="1"/>
    <xf numFmtId="164" fontId="43" fillId="0" borderId="0" xfId="108" applyNumberFormat="1" applyFont="1" applyAlignment="1">
      <alignment horizontal="right"/>
    </xf>
    <xf numFmtId="164" fontId="43" fillId="0" borderId="0" xfId="109" applyNumberFormat="1" applyFont="1" applyAlignment="1">
      <alignment horizontal="right"/>
    </xf>
    <xf numFmtId="164" fontId="43" fillId="0" borderId="7" xfId="110" applyNumberFormat="1" applyFont="1" applyBorder="1"/>
    <xf numFmtId="164" fontId="43" fillId="0" borderId="0" xfId="111" applyNumberFormat="1" applyFont="1" applyAlignment="1">
      <alignment horizontal="right"/>
    </xf>
    <xf numFmtId="164" fontId="43" fillId="0" borderId="7" xfId="112" applyNumberFormat="1" applyFont="1" applyBorder="1"/>
    <xf numFmtId="164" fontId="43" fillId="0" borderId="7" xfId="113" applyNumberFormat="1" applyFont="1" applyBorder="1"/>
    <xf numFmtId="164" fontId="43" fillId="0" borderId="0" xfId="114" applyNumberFormat="1" applyFont="1"/>
    <xf numFmtId="164" fontId="43" fillId="0" borderId="0" xfId="115" applyNumberFormat="1" applyFont="1"/>
    <xf numFmtId="0" fontId="68" fillId="0" borderId="0" xfId="0" applyFont="1"/>
    <xf numFmtId="164" fontId="43" fillId="0" borderId="0" xfId="116" applyNumberFormat="1" applyFont="1" applyAlignment="1">
      <alignment horizontal="right"/>
    </xf>
    <xf numFmtId="164" fontId="43" fillId="0" borderId="7" xfId="117" applyNumberFormat="1" applyFont="1" applyBorder="1" applyAlignment="1">
      <alignment horizontal="right"/>
    </xf>
    <xf numFmtId="164" fontId="43" fillId="0" borderId="0" xfId="118" applyNumberFormat="1" applyFont="1" applyAlignment="1">
      <alignment horizontal="right"/>
    </xf>
    <xf numFmtId="164" fontId="43" fillId="0" borderId="0" xfId="119" applyNumberFormat="1" applyFont="1"/>
    <xf numFmtId="164" fontId="43" fillId="0" borderId="0" xfId="120" applyNumberFormat="1" applyFont="1"/>
    <xf numFmtId="164" fontId="61" fillId="0" borderId="0" xfId="121" applyNumberFormat="1" applyFont="1" applyAlignment="1">
      <alignment horizontal="right"/>
    </xf>
    <xf numFmtId="164" fontId="43" fillId="0" borderId="0" xfId="121" applyNumberFormat="1" applyFont="1" applyAlignment="1">
      <alignment horizontal="right"/>
    </xf>
    <xf numFmtId="0" fontId="66" fillId="0" borderId="0" xfId="0" applyFont="1"/>
    <xf numFmtId="0" fontId="40" fillId="0" borderId="0" xfId="75" applyFont="1" applyAlignment="1">
      <alignment horizontal="left" vertical="center"/>
    </xf>
    <xf numFmtId="0" fontId="65" fillId="0" borderId="0" xfId="64" applyFont="1" applyAlignment="1" applyProtection="1">
      <alignment vertical="center"/>
    </xf>
    <xf numFmtId="0" fontId="69" fillId="0" borderId="0" xfId="0" applyFont="1" applyAlignment="1">
      <alignment vertical="center"/>
    </xf>
    <xf numFmtId="164" fontId="43" fillId="0" borderId="0" xfId="122" applyNumberFormat="1" applyFont="1"/>
    <xf numFmtId="164" fontId="43" fillId="0" borderId="0" xfId="123" applyNumberFormat="1" applyFont="1"/>
    <xf numFmtId="164" fontId="43" fillId="0" borderId="0" xfId="124" applyNumberFormat="1" applyFont="1"/>
    <xf numFmtId="164" fontId="43" fillId="0" borderId="0" xfId="125" applyNumberFormat="1" applyFont="1" applyAlignment="1">
      <alignment horizontal="right"/>
    </xf>
    <xf numFmtId="0" fontId="64" fillId="0" borderId="11" xfId="0" applyFont="1" applyBorder="1" applyAlignment="1">
      <alignment horizontal="right"/>
    </xf>
    <xf numFmtId="17" fontId="64" fillId="0" borderId="21" xfId="0" applyNumberFormat="1" applyFont="1" applyBorder="1" applyAlignment="1">
      <alignment horizontal="right"/>
    </xf>
    <xf numFmtId="164" fontId="43" fillId="0" borderId="10" xfId="126" applyNumberFormat="1" applyFont="1" applyBorder="1"/>
    <xf numFmtId="0" fontId="71" fillId="0" borderId="0" xfId="0" applyFont="1"/>
  </cellXfs>
  <cellStyles count="127">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3">
    <dxf>
      <font>
        <b val="0"/>
        <i val="0"/>
        <strike val="0"/>
        <condense val="0"/>
        <extend val="0"/>
        <outline val="0"/>
        <shadow val="0"/>
        <u val="none"/>
        <vertAlign val="baseline"/>
        <sz val="11"/>
        <color auto="1"/>
        <name val="Calibri"/>
        <family val="2"/>
        <scheme val="minor"/>
      </font>
      <protection locked="0" hidden="0"/>
    </dxf>
    <dxf>
      <font>
        <b val="0"/>
        <i val="0"/>
        <strike val="0"/>
        <condense val="0"/>
        <extend val="0"/>
        <outline val="0"/>
        <shadow val="0"/>
        <u val="none"/>
        <vertAlign val="baseline"/>
        <sz val="11"/>
        <color auto="1"/>
        <name val="Calibri"/>
        <family val="2"/>
        <scheme val="minor"/>
      </font>
      <numFmt numFmtId="164" formatCode="0.000"/>
      <protection locked="0" hidden="0"/>
    </dxf>
    <dxf>
      <protection locked="0"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CPIH Extrapolated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'Table 37'!$F$4</c:f>
              <c:strCache>
                <c:ptCount val="1"/>
                <c:pt idx="0">
                  <c:v>CPIH</c:v>
                </c:pt>
              </c:strCache>
            </c:strRef>
          </c:tx>
          <c:spPr>
            <a:ln w="28575" cap="rnd">
              <a:solidFill>
                <a:schemeClr val="accent1"/>
              </a:solidFill>
              <a:round/>
            </a:ln>
            <a:effectLst/>
          </c:spPr>
          <c:marker>
            <c:symbol val="none"/>
          </c:marker>
          <c:cat>
            <c:numRef>
              <c:f>'Table 37'!$E$5:$E$29</c:f>
              <c:numCache>
                <c:formatCode>General</c:formatCode>
                <c:ptCount val="25"/>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pt idx="22">
                  <c:v>2026</c:v>
                </c:pt>
                <c:pt idx="23">
                  <c:v>2027</c:v>
                </c:pt>
                <c:pt idx="24">
                  <c:v>2028</c:v>
                </c:pt>
              </c:numCache>
            </c:numRef>
          </c:cat>
          <c:val>
            <c:numRef>
              <c:f>'Table 37'!$F$5:$F$29</c:f>
              <c:numCache>
                <c:formatCode>0.000</c:formatCode>
                <c:ptCount val="25"/>
                <c:pt idx="0">
                  <c:v>77.779499999999999</c:v>
                </c:pt>
                <c:pt idx="1">
                  <c:v>79.40424999999999</c:v>
                </c:pt>
                <c:pt idx="2">
                  <c:v>81.356333333333339</c:v>
                </c:pt>
                <c:pt idx="3">
                  <c:v>83.304999999999993</c:v>
                </c:pt>
                <c:pt idx="4">
                  <c:v>86.222583333333333</c:v>
                </c:pt>
                <c:pt idx="5">
                  <c:v>87.933416666666673</c:v>
                </c:pt>
                <c:pt idx="6">
                  <c:v>90.123583333333329</c:v>
                </c:pt>
                <c:pt idx="7">
                  <c:v>93.585416666666674</c:v>
                </c:pt>
                <c:pt idx="8">
                  <c:v>95.992416666666671</c:v>
                </c:pt>
                <c:pt idx="9">
                  <c:v>98.200083333333325</c:v>
                </c:pt>
                <c:pt idx="10">
                  <c:v>99.625833333333333</c:v>
                </c:pt>
                <c:pt idx="11">
                  <c:v>100.00008333333334</c:v>
                </c:pt>
                <c:pt idx="12">
                  <c:v>100.98616666666668</c:v>
                </c:pt>
                <c:pt idx="13">
                  <c:v>103.59033333333332</c:v>
                </c:pt>
                <c:pt idx="14">
                  <c:v>105.95566666666669</c:v>
                </c:pt>
                <c:pt idx="15">
                  <c:v>107.80341666666668</c:v>
                </c:pt>
                <c:pt idx="16">
                  <c:v>108.88358333333332</c:v>
                </c:pt>
                <c:pt idx="17">
                  <c:v>111.61441666666667</c:v>
                </c:pt>
                <c:pt idx="18">
                  <c:v>120.45766666666668</c:v>
                </c:pt>
                <c:pt idx="19">
                  <c:v>128.64016666666666</c:v>
                </c:pt>
                <c:pt idx="20">
                  <c:v>132.85716666666667</c:v>
                </c:pt>
                <c:pt idx="21">
                  <c:v>137.98999999999998</c:v>
                </c:pt>
                <c:pt idx="22">
                  <c:v>139.25700000000001</c:v>
                </c:pt>
                <c:pt idx="23" formatCode="General">
                  <c:v>141.02600000000001</c:v>
                </c:pt>
                <c:pt idx="24" formatCode="General">
                  <c:v>146.107</c:v>
                </c:pt>
              </c:numCache>
            </c:numRef>
          </c:val>
          <c:smooth val="0"/>
          <c:extLst>
            <c:ext xmlns:c16="http://schemas.microsoft.com/office/drawing/2014/chart" uri="{C3380CC4-5D6E-409C-BE32-E72D297353CC}">
              <c16:uniqueId val="{92CC3E13-8A31-486C-AA01-BCDCB1CB5C61}"/>
            </c:ext>
          </c:extLst>
        </c:ser>
        <c:dLbls>
          <c:showLegendKey val="0"/>
          <c:showVal val="0"/>
          <c:showCatName val="0"/>
          <c:showSerName val="0"/>
          <c:showPercent val="0"/>
          <c:showBubbleSize val="0"/>
        </c:dLbls>
        <c:smooth val="0"/>
        <c:axId val="373889031"/>
        <c:axId val="373891079"/>
      </c:lineChart>
      <c:catAx>
        <c:axId val="373889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91079"/>
        <c:crosses val="autoZero"/>
        <c:auto val="1"/>
        <c:lblAlgn val="ctr"/>
        <c:lblOffset val="100"/>
        <c:noMultiLvlLbl val="0"/>
      </c:catAx>
      <c:valAx>
        <c:axId val="373891079"/>
        <c:scaling>
          <c:orientation val="minMax"/>
          <c:max val="150"/>
          <c:min val="7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CPIH All items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890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CPIH over</a:t>
            </a:r>
            <a:r>
              <a:rPr lang="en-GB" baseline="0"/>
              <a:t>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'Table 37'!$F$4</c:f>
              <c:strCache>
                <c:ptCount val="1"/>
                <c:pt idx="0">
                  <c:v>CPIH</c:v>
                </c:pt>
              </c:strCache>
            </c:strRef>
          </c:tx>
          <c:spPr>
            <a:ln w="28575" cap="rnd">
              <a:solidFill>
                <a:schemeClr val="accent1"/>
              </a:solidFill>
              <a:round/>
            </a:ln>
            <a:effectLst/>
          </c:spPr>
          <c:marker>
            <c:symbol val="none"/>
          </c:marker>
          <c:cat>
            <c:numRef>
              <c:f>'Table 37'!$E$5:$E$26</c:f>
              <c:numCache>
                <c:formatCode>General</c:formatCode>
                <c:ptCount val="22"/>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pt idx="19">
                  <c:v>2023</c:v>
                </c:pt>
                <c:pt idx="20">
                  <c:v>2024</c:v>
                </c:pt>
                <c:pt idx="21">
                  <c:v>2025</c:v>
                </c:pt>
              </c:numCache>
            </c:numRef>
          </c:cat>
          <c:val>
            <c:numRef>
              <c:f>'Table 37'!$F$5:$F$26</c:f>
              <c:numCache>
                <c:formatCode>0.000</c:formatCode>
                <c:ptCount val="22"/>
                <c:pt idx="0">
                  <c:v>77.779499999999999</c:v>
                </c:pt>
                <c:pt idx="1">
                  <c:v>79.40424999999999</c:v>
                </c:pt>
                <c:pt idx="2">
                  <c:v>81.356333333333339</c:v>
                </c:pt>
                <c:pt idx="3">
                  <c:v>83.304999999999993</c:v>
                </c:pt>
                <c:pt idx="4">
                  <c:v>86.222583333333333</c:v>
                </c:pt>
                <c:pt idx="5">
                  <c:v>87.933416666666673</c:v>
                </c:pt>
                <c:pt idx="6">
                  <c:v>90.123583333333329</c:v>
                </c:pt>
                <c:pt idx="7">
                  <c:v>93.585416666666674</c:v>
                </c:pt>
                <c:pt idx="8">
                  <c:v>95.992416666666671</c:v>
                </c:pt>
                <c:pt idx="9">
                  <c:v>98.200083333333325</c:v>
                </c:pt>
                <c:pt idx="10">
                  <c:v>99.625833333333333</c:v>
                </c:pt>
                <c:pt idx="11">
                  <c:v>100.00008333333334</c:v>
                </c:pt>
                <c:pt idx="12">
                  <c:v>100.98616666666668</c:v>
                </c:pt>
                <c:pt idx="13">
                  <c:v>103.59033333333332</c:v>
                </c:pt>
                <c:pt idx="14">
                  <c:v>105.95566666666669</c:v>
                </c:pt>
                <c:pt idx="15">
                  <c:v>107.80341666666668</c:v>
                </c:pt>
                <c:pt idx="16">
                  <c:v>108.88358333333332</c:v>
                </c:pt>
                <c:pt idx="17">
                  <c:v>111.61441666666667</c:v>
                </c:pt>
                <c:pt idx="18">
                  <c:v>120.45766666666668</c:v>
                </c:pt>
                <c:pt idx="19">
                  <c:v>128.64016666666666</c:v>
                </c:pt>
                <c:pt idx="20">
                  <c:v>132.85716666666667</c:v>
                </c:pt>
                <c:pt idx="21">
                  <c:v>137.98999999999998</c:v>
                </c:pt>
              </c:numCache>
            </c:numRef>
          </c:val>
          <c:smooth val="0"/>
          <c:extLst>
            <c:ext xmlns:c16="http://schemas.microsoft.com/office/drawing/2014/chart" uri="{C3380CC4-5D6E-409C-BE32-E72D297353CC}">
              <c16:uniqueId val="{00000000-C5FB-41BD-9124-157DD160524F}"/>
            </c:ext>
          </c:extLst>
        </c:ser>
        <c:dLbls>
          <c:showLegendKey val="0"/>
          <c:showVal val="0"/>
          <c:showCatName val="0"/>
          <c:showSerName val="0"/>
          <c:showPercent val="0"/>
          <c:showBubbleSize val="0"/>
        </c:dLbls>
        <c:smooth val="0"/>
        <c:axId val="1866647839"/>
        <c:axId val="1866648319"/>
      </c:lineChart>
      <c:catAx>
        <c:axId val="186664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48319"/>
        <c:crosses val="autoZero"/>
        <c:auto val="1"/>
        <c:lblAlgn val="ctr"/>
        <c:lblOffset val="100"/>
        <c:noMultiLvlLbl val="0"/>
      </c:catAx>
      <c:valAx>
        <c:axId val="1866648319"/>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647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266700</xdr:colOff>
      <xdr:row>3</xdr:row>
      <xdr:rowOff>123825</xdr:rowOff>
    </xdr:from>
    <xdr:to>
      <xdr:col>14</xdr:col>
      <xdr:colOff>438150</xdr:colOff>
      <xdr:row>14</xdr:row>
      <xdr:rowOff>66675</xdr:rowOff>
    </xdr:to>
    <xdr:graphicFrame macro="">
      <xdr:nvGraphicFramePr>
        <xdr:cNvPr id="3" name="Chart 2" descr="Chart type: Line. 'CPIH All items'&#10;&#10;Description automatically generated">
          <a:extLst>
            <a:ext uri="{FF2B5EF4-FFF2-40B4-BE49-F238E27FC236}">
              <a16:creationId xmlns:a16="http://schemas.microsoft.com/office/drawing/2014/main" id="{479137A6-E57E-6316-E68D-B97AD2B4B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238125</xdr:colOff>
      <xdr:row>15</xdr:row>
      <xdr:rowOff>152400</xdr:rowOff>
    </xdr:from>
    <xdr:to>
      <xdr:col>14</xdr:col>
      <xdr:colOff>187325</xdr:colOff>
      <xdr:row>30</xdr:row>
      <xdr:rowOff>133350</xdr:rowOff>
    </xdr:to>
    <xdr:graphicFrame macro="">
      <xdr:nvGraphicFramePr>
        <xdr:cNvPr id="2" name="Chart 1">
          <a:extLst>
            <a:ext uri="{FF2B5EF4-FFF2-40B4-BE49-F238E27FC236}">
              <a16:creationId xmlns:a16="http://schemas.microsoft.com/office/drawing/2014/main" id="{8729A36F-E2E9-FF14-A3C6-BEF4D0BB8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C5AAAD-2133-4ADD-A85C-54DD6A76BBE5}" name="Table1" displayName="Table1" ref="E4:F29" totalsRowShown="0" headerRowDxfId="2">
  <autoFilter ref="E4:F29" xr:uid="{90C5AAAD-2133-4ADD-A85C-54DD6A76BBE5}"/>
  <tableColumns count="2">
    <tableColumn id="1" xr3:uid="{A604FD8F-8072-4F9E-908F-2A7F3327DC20}" name="Year" dataDxfId="0"/>
    <tableColumn id="2" xr3:uid="{32662187-03EE-4822-83B5-2A599C563EA4}" name="CPIH"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2:F301"/>
  <sheetViews>
    <sheetView tabSelected="1" topLeftCell="B14" workbookViewId="0">
      <selection activeCell="E4" sqref="E4:F26"/>
    </sheetView>
  </sheetViews>
  <sheetFormatPr defaultColWidth="9.453125" defaultRowHeight="14.5" x14ac:dyDescent="0.35"/>
  <cols>
    <col min="1" max="1" width="16.453125" style="3" customWidth="1"/>
    <col min="2" max="2" width="20.453125" style="7" customWidth="1"/>
    <col min="3" max="3" width="8.81640625" style="7" bestFit="1" customWidth="1"/>
    <col min="6" max="6" width="14.453125" customWidth="1"/>
  </cols>
  <sheetData>
    <row r="2" spans="1:6" s="10" customFormat="1" x14ac:dyDescent="0.35">
      <c r="A2" s="13"/>
      <c r="B2" s="13" t="s">
        <v>0</v>
      </c>
      <c r="C2" s="14">
        <v>0</v>
      </c>
    </row>
    <row r="3" spans="1:6" s="10" customFormat="1" ht="12.75" customHeight="1" x14ac:dyDescent="0.35">
      <c r="A3" s="15"/>
      <c r="B3" s="28" t="s">
        <v>1</v>
      </c>
      <c r="C3" s="27" t="s">
        <v>2</v>
      </c>
    </row>
    <row r="4" spans="1:6" s="10" customFormat="1" ht="78" customHeight="1" x14ac:dyDescent="0.35">
      <c r="A4" s="20" t="s">
        <v>3</v>
      </c>
      <c r="B4" s="19" t="s">
        <v>4</v>
      </c>
      <c r="C4" s="24" t="s">
        <v>5</v>
      </c>
      <c r="E4" s="10" t="s">
        <v>6</v>
      </c>
      <c r="F4" s="10" t="s">
        <v>7</v>
      </c>
    </row>
    <row r="5" spans="1:6" s="11" customFormat="1" x14ac:dyDescent="0.35">
      <c r="A5" s="40">
        <v>200401</v>
      </c>
      <c r="B5" s="42">
        <v>37987</v>
      </c>
      <c r="C5" s="32">
        <v>77.001000000000005</v>
      </c>
      <c r="E5" s="11">
        <v>2004</v>
      </c>
      <c r="F5" s="16">
        <f>AVERAGE(C5:C16)</f>
        <v>77.779499999999999</v>
      </c>
    </row>
    <row r="6" spans="1:6" s="11" customFormat="1" x14ac:dyDescent="0.35">
      <c r="A6" s="40">
        <v>200402</v>
      </c>
      <c r="B6" s="42">
        <v>38018</v>
      </c>
      <c r="C6" s="32">
        <v>77.180000000000007</v>
      </c>
      <c r="E6" s="11">
        <v>2005</v>
      </c>
      <c r="F6" s="16">
        <f>AVERAGE(C17:C28)</f>
        <v>79.40424999999999</v>
      </c>
    </row>
    <row r="7" spans="1:6" s="11" customFormat="1" x14ac:dyDescent="0.35">
      <c r="A7" s="40">
        <v>200403</v>
      </c>
      <c r="B7" s="42">
        <v>38047</v>
      </c>
      <c r="C7" s="32">
        <v>77.290000000000006</v>
      </c>
      <c r="E7" s="11">
        <v>2006</v>
      </c>
      <c r="F7" s="16">
        <f>AVERAGE(C29:C40)</f>
        <v>81.356333333333339</v>
      </c>
    </row>
    <row r="8" spans="1:6" s="11" customFormat="1" x14ac:dyDescent="0.35">
      <c r="A8" s="40">
        <v>200404</v>
      </c>
      <c r="B8" s="42">
        <v>38078</v>
      </c>
      <c r="C8" s="32">
        <v>77.647000000000006</v>
      </c>
      <c r="E8" s="11">
        <v>2007</v>
      </c>
      <c r="F8" s="16">
        <f>AVERAGE(C41:C52)</f>
        <v>83.304999999999993</v>
      </c>
    </row>
    <row r="9" spans="1:6" s="11" customFormat="1" x14ac:dyDescent="0.35">
      <c r="A9" s="40">
        <v>200405</v>
      </c>
      <c r="B9" s="42">
        <v>38108</v>
      </c>
      <c r="C9" s="32">
        <v>77.870999999999995</v>
      </c>
      <c r="E9" s="11">
        <v>2008</v>
      </c>
      <c r="F9" s="16">
        <f>AVERAGE(C53:C64)</f>
        <v>86.222583333333333</v>
      </c>
    </row>
    <row r="10" spans="1:6" s="11" customFormat="1" x14ac:dyDescent="0.35">
      <c r="A10" s="40">
        <v>200406</v>
      </c>
      <c r="B10" s="42">
        <v>38139</v>
      </c>
      <c r="C10" s="32">
        <v>77.855000000000004</v>
      </c>
      <c r="E10" s="11">
        <v>2009</v>
      </c>
      <c r="F10" s="16">
        <f>AVERAGE(C65:C76)</f>
        <v>87.933416666666673</v>
      </c>
    </row>
    <row r="11" spans="1:6" s="11" customFormat="1" x14ac:dyDescent="0.35">
      <c r="A11" s="40">
        <v>200407</v>
      </c>
      <c r="B11" s="42">
        <v>38169</v>
      </c>
      <c r="C11" s="32">
        <v>77.712999999999994</v>
      </c>
      <c r="E11" s="11">
        <v>2010</v>
      </c>
      <c r="F11" s="16">
        <f>AVERAGE(C77:C88)</f>
        <v>90.123583333333329</v>
      </c>
    </row>
    <row r="12" spans="1:6" s="11" customFormat="1" x14ac:dyDescent="0.35">
      <c r="A12" s="40">
        <v>200408</v>
      </c>
      <c r="B12" s="42">
        <v>38200</v>
      </c>
      <c r="C12" s="32">
        <v>77.872</v>
      </c>
      <c r="E12" s="11">
        <v>2011</v>
      </c>
      <c r="F12" s="16">
        <f>AVERAGE(C89:C100)</f>
        <v>93.585416666666674</v>
      </c>
    </row>
    <row r="13" spans="1:6" s="11" customFormat="1" x14ac:dyDescent="0.35">
      <c r="A13" s="40">
        <v>200409</v>
      </c>
      <c r="B13" s="42">
        <v>38231</v>
      </c>
      <c r="C13" s="32">
        <v>77.918999999999997</v>
      </c>
      <c r="E13" s="11">
        <v>2012</v>
      </c>
      <c r="F13" s="16">
        <f>AVERAGE(C101:C112)</f>
        <v>95.992416666666671</v>
      </c>
    </row>
    <row r="14" spans="1:6" s="11" customFormat="1" x14ac:dyDescent="0.35">
      <c r="A14" s="40">
        <v>200410</v>
      </c>
      <c r="B14" s="42">
        <v>38261</v>
      </c>
      <c r="C14" s="32">
        <v>78.126000000000005</v>
      </c>
      <c r="E14" s="11">
        <v>2013</v>
      </c>
      <c r="F14" s="16">
        <f>AVERAGE(C113:C124)</f>
        <v>98.200083333333325</v>
      </c>
    </row>
    <row r="15" spans="1:6" s="11" customFormat="1" x14ac:dyDescent="0.35">
      <c r="A15" s="40">
        <v>200411</v>
      </c>
      <c r="B15" s="42">
        <v>38292</v>
      </c>
      <c r="C15" s="32">
        <v>78.257999999999996</v>
      </c>
      <c r="E15" s="11">
        <v>2014</v>
      </c>
      <c r="F15" s="16">
        <f>AVERAGE(C125:C136)</f>
        <v>99.625833333333333</v>
      </c>
    </row>
    <row r="16" spans="1:6" s="11" customFormat="1" x14ac:dyDescent="0.35">
      <c r="A16" s="40">
        <v>200412</v>
      </c>
      <c r="B16" s="42">
        <v>38322</v>
      </c>
      <c r="C16" s="32">
        <v>78.622</v>
      </c>
      <c r="E16" s="11">
        <v>2015</v>
      </c>
      <c r="F16" s="16">
        <f>AVERAGE(C137:C148)</f>
        <v>100.00008333333334</v>
      </c>
    </row>
    <row r="17" spans="1:6" s="11" customFormat="1" x14ac:dyDescent="0.35">
      <c r="A17" s="41" t="s">
        <v>8</v>
      </c>
      <c r="B17" s="29">
        <v>38353</v>
      </c>
      <c r="C17" s="17">
        <v>78.320999999999998</v>
      </c>
      <c r="E17" s="11">
        <v>2016</v>
      </c>
      <c r="F17" s="16">
        <f>AVERAGE(C149:C160)</f>
        <v>100.98616666666668</v>
      </c>
    </row>
    <row r="18" spans="1:6" s="11" customFormat="1" x14ac:dyDescent="0.35">
      <c r="A18" s="41" t="s">
        <v>9</v>
      </c>
      <c r="B18" s="29">
        <v>38384</v>
      </c>
      <c r="C18" s="17">
        <v>78.497</v>
      </c>
      <c r="E18" s="11">
        <v>2017</v>
      </c>
      <c r="F18" s="16">
        <f>AVERAGE(C161:C172)</f>
        <v>103.59033333333332</v>
      </c>
    </row>
    <row r="19" spans="1:6" s="11" customFormat="1" x14ac:dyDescent="0.35">
      <c r="A19" s="41" t="s">
        <v>10</v>
      </c>
      <c r="B19" s="29">
        <v>38412</v>
      </c>
      <c r="C19" s="17">
        <v>78.801000000000002</v>
      </c>
      <c r="E19" s="11">
        <v>2018</v>
      </c>
      <c r="F19" s="16">
        <f>AVERAGE(C173:C184)</f>
        <v>105.95566666666669</v>
      </c>
    </row>
    <row r="20" spans="1:6" s="12" customFormat="1" x14ac:dyDescent="0.35">
      <c r="A20" s="41" t="s">
        <v>11</v>
      </c>
      <c r="B20" s="29">
        <v>38443</v>
      </c>
      <c r="C20" s="17">
        <v>79.13</v>
      </c>
      <c r="E20" s="11">
        <v>2019</v>
      </c>
      <c r="F20" s="16">
        <f>AVERAGE(C185:C196)</f>
        <v>107.80341666666668</v>
      </c>
    </row>
    <row r="21" spans="1:6" s="11" customFormat="1" x14ac:dyDescent="0.35">
      <c r="A21" s="41" t="s">
        <v>12</v>
      </c>
      <c r="B21" s="29">
        <v>38473</v>
      </c>
      <c r="C21" s="17">
        <v>79.355000000000004</v>
      </c>
      <c r="E21" s="11">
        <v>2020</v>
      </c>
      <c r="F21" s="16">
        <f>AVERAGE(C197:C208)</f>
        <v>108.88358333333332</v>
      </c>
    </row>
    <row r="22" spans="1:6" s="11" customFormat="1" x14ac:dyDescent="0.35">
      <c r="A22" s="41" t="s">
        <v>13</v>
      </c>
      <c r="B22" s="29">
        <v>38504</v>
      </c>
      <c r="C22" s="17">
        <v>79.426000000000002</v>
      </c>
      <c r="E22" s="11">
        <v>2021</v>
      </c>
      <c r="F22" s="16">
        <f>AVERAGE(C209:C220)</f>
        <v>111.61441666666667</v>
      </c>
    </row>
    <row r="23" spans="1:6" s="11" customFormat="1" x14ac:dyDescent="0.35">
      <c r="A23" s="41" t="s">
        <v>14</v>
      </c>
      <c r="B23" s="29">
        <v>38534</v>
      </c>
      <c r="C23" s="17">
        <v>79.477999999999994</v>
      </c>
      <c r="E23" s="11">
        <v>2022</v>
      </c>
      <c r="F23" s="16">
        <f>AVERAGE(C221:C232)</f>
        <v>120.45766666666668</v>
      </c>
    </row>
    <row r="24" spans="1:6" s="11" customFormat="1" x14ac:dyDescent="0.35">
      <c r="A24" s="41" t="s">
        <v>15</v>
      </c>
      <c r="B24" s="29">
        <v>38565</v>
      </c>
      <c r="C24" s="17">
        <v>79.712999999999994</v>
      </c>
      <c r="E24" s="11">
        <v>2023</v>
      </c>
      <c r="F24" s="16">
        <f>AVERAGE(C233:C244)</f>
        <v>128.64016666666666</v>
      </c>
    </row>
    <row r="25" spans="1:6" s="11" customFormat="1" x14ac:dyDescent="0.35">
      <c r="A25" s="41" t="s">
        <v>16</v>
      </c>
      <c r="B25" s="29">
        <v>38596</v>
      </c>
      <c r="C25" s="17">
        <v>79.856999999999999</v>
      </c>
      <c r="E25" s="11">
        <v>2024</v>
      </c>
      <c r="F25" s="16">
        <f>AVERAGE(C245:C256)</f>
        <v>132.85716666666667</v>
      </c>
    </row>
    <row r="26" spans="1:6" s="11" customFormat="1" x14ac:dyDescent="0.35">
      <c r="A26" s="41" t="s">
        <v>17</v>
      </c>
      <c r="B26" s="29">
        <v>38626</v>
      </c>
      <c r="C26" s="17">
        <v>79.997</v>
      </c>
      <c r="E26" s="11">
        <v>2025</v>
      </c>
      <c r="F26" s="16">
        <f>AVERAGE(C257:C268)</f>
        <v>137.98999999999998</v>
      </c>
    </row>
    <row r="27" spans="1:6" s="11" customFormat="1" x14ac:dyDescent="0.35">
      <c r="A27" s="41" t="s">
        <v>18</v>
      </c>
      <c r="B27" s="29">
        <v>38657</v>
      </c>
      <c r="C27" s="17">
        <v>80.016999999999996</v>
      </c>
      <c r="E27" s="11">
        <v>2026</v>
      </c>
      <c r="F27" s="16">
        <v>139.25700000000001</v>
      </c>
    </row>
    <row r="28" spans="1:6" s="11" customFormat="1" x14ac:dyDescent="0.35">
      <c r="A28" s="41" t="s">
        <v>19</v>
      </c>
      <c r="B28" s="29">
        <v>38687</v>
      </c>
      <c r="C28" s="17">
        <v>80.259</v>
      </c>
      <c r="E28" s="11">
        <v>2027</v>
      </c>
      <c r="F28" s="96">
        <v>141.02600000000001</v>
      </c>
    </row>
    <row r="29" spans="1:6" s="11" customFormat="1" x14ac:dyDescent="0.35">
      <c r="A29" s="41" t="s">
        <v>20</v>
      </c>
      <c r="B29" s="29">
        <v>38718</v>
      </c>
      <c r="C29" s="17">
        <v>80.010999999999996</v>
      </c>
      <c r="E29" s="11">
        <v>2028</v>
      </c>
      <c r="F29" s="96">
        <v>146.107</v>
      </c>
    </row>
    <row r="30" spans="1:6" s="11" customFormat="1" x14ac:dyDescent="0.35">
      <c r="A30" s="41" t="s">
        <v>21</v>
      </c>
      <c r="B30" s="29">
        <v>38749</v>
      </c>
      <c r="C30" s="17">
        <v>80.242000000000004</v>
      </c>
    </row>
    <row r="31" spans="1:6" s="11" customFormat="1" x14ac:dyDescent="0.35">
      <c r="A31" s="41" t="s">
        <v>22</v>
      </c>
      <c r="B31" s="29">
        <v>38777</v>
      </c>
      <c r="C31" s="17">
        <v>80.400000000000006</v>
      </c>
    </row>
    <row r="32" spans="1:6" s="11" customFormat="1" x14ac:dyDescent="0.35">
      <c r="A32" s="41" t="s">
        <v>23</v>
      </c>
      <c r="B32" s="29">
        <v>38808</v>
      </c>
      <c r="C32" s="17">
        <v>80.905000000000001</v>
      </c>
    </row>
    <row r="33" spans="1:3" s="11" customFormat="1" x14ac:dyDescent="0.35">
      <c r="A33" s="41" t="s">
        <v>24</v>
      </c>
      <c r="B33" s="29">
        <v>38838</v>
      </c>
      <c r="C33" s="17">
        <v>81.275999999999996</v>
      </c>
    </row>
    <row r="34" spans="1:3" s="11" customFormat="1" x14ac:dyDescent="0.35">
      <c r="A34" s="41" t="s">
        <v>25</v>
      </c>
      <c r="B34" s="29">
        <v>38869</v>
      </c>
      <c r="C34" s="17">
        <v>81.501000000000005</v>
      </c>
    </row>
    <row r="35" spans="1:3" s="11" customFormat="1" x14ac:dyDescent="0.35">
      <c r="A35" s="41" t="s">
        <v>26</v>
      </c>
      <c r="B35" s="29">
        <v>38899</v>
      </c>
      <c r="C35" s="17">
        <v>81.474000000000004</v>
      </c>
    </row>
    <row r="36" spans="1:3" s="11" customFormat="1" x14ac:dyDescent="0.35">
      <c r="A36" s="41" t="s">
        <v>27</v>
      </c>
      <c r="B36" s="29">
        <v>38930</v>
      </c>
      <c r="C36" s="17">
        <v>81.774000000000001</v>
      </c>
    </row>
    <row r="37" spans="1:3" s="11" customFormat="1" x14ac:dyDescent="0.35">
      <c r="A37" s="41" t="s">
        <v>28</v>
      </c>
      <c r="B37" s="29">
        <v>38961</v>
      </c>
      <c r="C37" s="17">
        <v>81.867999999999995</v>
      </c>
    </row>
    <row r="38" spans="1:3" s="11" customFormat="1" x14ac:dyDescent="0.35">
      <c r="A38" s="41" t="s">
        <v>29</v>
      </c>
      <c r="B38" s="29">
        <v>38991</v>
      </c>
      <c r="C38" s="17">
        <v>81.998000000000005</v>
      </c>
    </row>
    <row r="39" spans="1:3" s="11" customFormat="1" x14ac:dyDescent="0.35">
      <c r="A39" s="41" t="s">
        <v>30</v>
      </c>
      <c r="B39" s="29">
        <v>39022</v>
      </c>
      <c r="C39" s="17">
        <v>82.221999999999994</v>
      </c>
    </row>
    <row r="40" spans="1:3" s="12" customFormat="1" x14ac:dyDescent="0.35">
      <c r="A40" s="41" t="s">
        <v>31</v>
      </c>
      <c r="B40" s="29">
        <v>39052</v>
      </c>
      <c r="C40" s="17">
        <v>82.605000000000004</v>
      </c>
    </row>
    <row r="41" spans="1:3" s="11" customFormat="1" x14ac:dyDescent="0.35">
      <c r="A41" s="41" t="s">
        <v>32</v>
      </c>
      <c r="B41" s="29">
        <v>39083</v>
      </c>
      <c r="C41" s="17">
        <v>82.146000000000001</v>
      </c>
    </row>
    <row r="42" spans="1:3" s="11" customFormat="1" x14ac:dyDescent="0.35">
      <c r="A42" s="41" t="s">
        <v>33</v>
      </c>
      <c r="B42" s="29">
        <v>39114</v>
      </c>
      <c r="C42" s="17">
        <v>82.426000000000002</v>
      </c>
    </row>
    <row r="43" spans="1:3" s="11" customFormat="1" x14ac:dyDescent="0.35">
      <c r="A43" s="41" t="s">
        <v>34</v>
      </c>
      <c r="B43" s="29">
        <v>39142</v>
      </c>
      <c r="C43" s="17">
        <v>82.77</v>
      </c>
    </row>
    <row r="44" spans="1:3" s="11" customFormat="1" x14ac:dyDescent="0.35">
      <c r="A44" s="41" t="s">
        <v>35</v>
      </c>
      <c r="B44" s="29">
        <v>39173</v>
      </c>
      <c r="C44" s="17">
        <v>83.087999999999994</v>
      </c>
    </row>
    <row r="45" spans="1:3" s="11" customFormat="1" x14ac:dyDescent="0.35">
      <c r="A45" s="41" t="s">
        <v>36</v>
      </c>
      <c r="B45" s="29">
        <v>39203</v>
      </c>
      <c r="C45" s="17">
        <v>83.316999999999993</v>
      </c>
    </row>
    <row r="46" spans="1:3" s="11" customFormat="1" x14ac:dyDescent="0.35">
      <c r="A46" s="41" t="s">
        <v>37</v>
      </c>
      <c r="B46" s="29">
        <v>39234</v>
      </c>
      <c r="C46" s="17">
        <v>83.501000000000005</v>
      </c>
    </row>
    <row r="47" spans="1:3" s="12" customFormat="1" x14ac:dyDescent="0.35">
      <c r="A47" s="41" t="s">
        <v>38</v>
      </c>
      <c r="B47" s="29">
        <v>39264</v>
      </c>
      <c r="C47" s="17">
        <v>83.12</v>
      </c>
    </row>
    <row r="48" spans="1:3" s="10" customFormat="1" x14ac:dyDescent="0.35">
      <c r="A48" s="41" t="s">
        <v>39</v>
      </c>
      <c r="B48" s="29">
        <v>39295</v>
      </c>
      <c r="C48" s="17">
        <v>83.411000000000001</v>
      </c>
    </row>
    <row r="49" spans="1:3" s="10" customFormat="1" x14ac:dyDescent="0.35">
      <c r="A49" s="41" t="s">
        <v>40</v>
      </c>
      <c r="B49" s="29">
        <v>39326</v>
      </c>
      <c r="C49" s="17">
        <v>83.477000000000004</v>
      </c>
    </row>
    <row r="50" spans="1:3" s="10" customFormat="1" x14ac:dyDescent="0.35">
      <c r="A50" s="41" t="s">
        <v>41</v>
      </c>
      <c r="B50" s="29">
        <v>39356</v>
      </c>
      <c r="C50" s="17">
        <v>83.846000000000004</v>
      </c>
    </row>
    <row r="51" spans="1:3" x14ac:dyDescent="0.35">
      <c r="A51" s="41" t="s">
        <v>42</v>
      </c>
      <c r="B51" s="29">
        <v>39387</v>
      </c>
      <c r="C51" s="17">
        <v>84.057000000000002</v>
      </c>
    </row>
    <row r="52" spans="1:3" x14ac:dyDescent="0.35">
      <c r="A52" s="41" t="s">
        <v>43</v>
      </c>
      <c r="B52" s="29">
        <v>39417</v>
      </c>
      <c r="C52" s="17">
        <v>84.501000000000005</v>
      </c>
    </row>
    <row r="53" spans="1:3" x14ac:dyDescent="0.35">
      <c r="A53" s="41" t="s">
        <v>44</v>
      </c>
      <c r="B53" s="29">
        <v>39448</v>
      </c>
      <c r="C53" s="17">
        <v>84.1</v>
      </c>
    </row>
    <row r="54" spans="1:3" x14ac:dyDescent="0.35">
      <c r="A54" s="41" t="s">
        <v>45</v>
      </c>
      <c r="B54" s="29">
        <v>39479</v>
      </c>
      <c r="C54" s="17">
        <v>84.596999999999994</v>
      </c>
    </row>
    <row r="55" spans="1:3" x14ac:dyDescent="0.35">
      <c r="A55" s="41" t="s">
        <v>46</v>
      </c>
      <c r="B55" s="29">
        <v>39508</v>
      </c>
      <c r="C55" s="17">
        <v>84.921000000000006</v>
      </c>
    </row>
    <row r="56" spans="1:3" x14ac:dyDescent="0.35">
      <c r="A56" s="41" t="s">
        <v>47</v>
      </c>
      <c r="B56" s="29">
        <v>39539</v>
      </c>
      <c r="C56" s="17">
        <v>85.587999999999994</v>
      </c>
    </row>
    <row r="57" spans="1:3" x14ac:dyDescent="0.35">
      <c r="A57" s="41" t="s">
        <v>48</v>
      </c>
      <c r="B57" s="29">
        <v>39569</v>
      </c>
      <c r="C57" s="17">
        <v>86.069000000000003</v>
      </c>
    </row>
    <row r="58" spans="1:3" x14ac:dyDescent="0.35">
      <c r="A58" s="41" t="s">
        <v>49</v>
      </c>
      <c r="B58" s="29">
        <v>39600</v>
      </c>
      <c r="C58" s="17">
        <v>86.573999999999998</v>
      </c>
    </row>
    <row r="59" spans="1:3" x14ac:dyDescent="0.35">
      <c r="A59" s="41" t="s">
        <v>50</v>
      </c>
      <c r="B59" s="29">
        <v>39630</v>
      </c>
      <c r="C59" s="17">
        <v>86.608000000000004</v>
      </c>
    </row>
    <row r="60" spans="1:3" x14ac:dyDescent="0.35">
      <c r="A60" s="41" t="s">
        <v>51</v>
      </c>
      <c r="B60" s="29">
        <v>39661</v>
      </c>
      <c r="C60" s="17">
        <v>87.081000000000003</v>
      </c>
    </row>
    <row r="61" spans="1:3" x14ac:dyDescent="0.35">
      <c r="A61" s="41" t="s">
        <v>52</v>
      </c>
      <c r="B61" s="29">
        <v>39692</v>
      </c>
      <c r="C61" s="17">
        <v>87.460999999999999</v>
      </c>
    </row>
    <row r="62" spans="1:3" x14ac:dyDescent="0.35">
      <c r="A62" s="41" t="s">
        <v>53</v>
      </c>
      <c r="B62" s="29">
        <v>39722</v>
      </c>
      <c r="C62" s="17">
        <v>87.326999999999998</v>
      </c>
    </row>
    <row r="63" spans="1:3" x14ac:dyDescent="0.35">
      <c r="A63" s="41" t="s">
        <v>54</v>
      </c>
      <c r="B63" s="29">
        <v>39753</v>
      </c>
      <c r="C63" s="17">
        <v>87.284000000000006</v>
      </c>
    </row>
    <row r="64" spans="1:3" x14ac:dyDescent="0.35">
      <c r="A64" s="41" t="s">
        <v>55</v>
      </c>
      <c r="B64" s="29">
        <v>39783</v>
      </c>
      <c r="C64" s="17">
        <v>87.061000000000007</v>
      </c>
    </row>
    <row r="65" spans="1:3" x14ac:dyDescent="0.35">
      <c r="A65" s="41" t="s">
        <v>56</v>
      </c>
      <c r="B65" s="29">
        <v>39814</v>
      </c>
      <c r="C65" s="17">
        <v>86.575000000000003</v>
      </c>
    </row>
    <row r="66" spans="1:3" x14ac:dyDescent="0.35">
      <c r="A66" s="41" t="s">
        <v>57</v>
      </c>
      <c r="B66" s="29">
        <v>39845</v>
      </c>
      <c r="C66" s="17">
        <v>87.191999999999993</v>
      </c>
    </row>
    <row r="67" spans="1:3" x14ac:dyDescent="0.35">
      <c r="A67" s="41" t="s">
        <v>58</v>
      </c>
      <c r="B67" s="29">
        <v>39873</v>
      </c>
      <c r="C67" s="17">
        <v>87.305000000000007</v>
      </c>
    </row>
    <row r="68" spans="1:3" x14ac:dyDescent="0.35">
      <c r="A68" s="41" t="s">
        <v>59</v>
      </c>
      <c r="B68" s="29">
        <v>39904</v>
      </c>
      <c r="C68" s="17">
        <v>87.539000000000001</v>
      </c>
    </row>
    <row r="69" spans="1:3" x14ac:dyDescent="0.35">
      <c r="A69" s="41" t="s">
        <v>60</v>
      </c>
      <c r="B69" s="29">
        <v>39934</v>
      </c>
      <c r="C69" s="17">
        <v>87.911000000000001</v>
      </c>
    </row>
    <row r="70" spans="1:3" x14ac:dyDescent="0.35">
      <c r="A70" s="41" t="s">
        <v>61</v>
      </c>
      <c r="B70" s="29">
        <v>39965</v>
      </c>
      <c r="C70" s="17">
        <v>88.069000000000003</v>
      </c>
    </row>
    <row r="71" spans="1:3" x14ac:dyDescent="0.35">
      <c r="A71" s="41" t="s">
        <v>62</v>
      </c>
      <c r="B71" s="29">
        <v>39995</v>
      </c>
      <c r="C71" s="17">
        <v>88.03</v>
      </c>
    </row>
    <row r="72" spans="1:3" x14ac:dyDescent="0.35">
      <c r="A72" s="41" t="s">
        <v>63</v>
      </c>
      <c r="B72" s="29">
        <v>40026</v>
      </c>
      <c r="C72" s="17">
        <v>88.313999999999993</v>
      </c>
    </row>
    <row r="73" spans="1:3" x14ac:dyDescent="0.35">
      <c r="A73" s="41" t="s">
        <v>64</v>
      </c>
      <c r="B73" s="29">
        <v>40057</v>
      </c>
      <c r="C73" s="17">
        <v>88.335999999999999</v>
      </c>
    </row>
    <row r="74" spans="1:3" x14ac:dyDescent="0.35">
      <c r="A74" s="41" t="s">
        <v>65</v>
      </c>
      <c r="B74" s="29">
        <v>40087</v>
      </c>
      <c r="C74" s="17">
        <v>88.408000000000001</v>
      </c>
    </row>
    <row r="75" spans="1:3" x14ac:dyDescent="0.35">
      <c r="A75" s="41" t="s">
        <v>66</v>
      </c>
      <c r="B75" s="29">
        <v>40118</v>
      </c>
      <c r="C75" s="17">
        <v>88.59</v>
      </c>
    </row>
    <row r="76" spans="1:3" x14ac:dyDescent="0.35">
      <c r="A76" s="41" t="s">
        <v>67</v>
      </c>
      <c r="B76" s="29">
        <v>40148</v>
      </c>
      <c r="C76" s="17">
        <v>88.932000000000002</v>
      </c>
    </row>
    <row r="77" spans="1:3" x14ac:dyDescent="0.35">
      <c r="A77" s="41" t="s">
        <v>68</v>
      </c>
      <c r="B77" s="29">
        <v>40179</v>
      </c>
      <c r="C77" s="17">
        <v>88.784999999999997</v>
      </c>
    </row>
    <row r="78" spans="1:3" x14ac:dyDescent="0.35">
      <c r="A78" s="41" t="s">
        <v>69</v>
      </c>
      <c r="B78" s="29">
        <v>40210</v>
      </c>
      <c r="C78" s="17">
        <v>89.04</v>
      </c>
    </row>
    <row r="79" spans="1:3" x14ac:dyDescent="0.35">
      <c r="A79" s="41" t="s">
        <v>70</v>
      </c>
      <c r="B79" s="29">
        <v>40238</v>
      </c>
      <c r="C79" s="17">
        <v>89.438999999999993</v>
      </c>
    </row>
    <row r="80" spans="1:3" x14ac:dyDescent="0.35">
      <c r="A80" s="41" t="s">
        <v>71</v>
      </c>
      <c r="B80" s="29">
        <v>40269</v>
      </c>
      <c r="C80" s="17">
        <v>89.885999999999996</v>
      </c>
    </row>
    <row r="81" spans="1:3" x14ac:dyDescent="0.35">
      <c r="A81" s="41" t="s">
        <v>72</v>
      </c>
      <c r="B81" s="29">
        <v>40299</v>
      </c>
      <c r="C81" s="17">
        <v>90.066000000000003</v>
      </c>
    </row>
    <row r="82" spans="1:3" x14ac:dyDescent="0.35">
      <c r="A82" s="41" t="s">
        <v>73</v>
      </c>
      <c r="B82" s="29">
        <v>40330</v>
      </c>
      <c r="C82" s="17">
        <v>90.17</v>
      </c>
    </row>
    <row r="83" spans="1:3" x14ac:dyDescent="0.35">
      <c r="A83" s="41" t="s">
        <v>74</v>
      </c>
      <c r="B83" s="29">
        <v>40360</v>
      </c>
      <c r="C83" s="17">
        <v>90.025999999999996</v>
      </c>
    </row>
    <row r="84" spans="1:3" x14ac:dyDescent="0.35">
      <c r="A84" s="41" t="s">
        <v>75</v>
      </c>
      <c r="B84" s="29">
        <v>40391</v>
      </c>
      <c r="C84" s="17">
        <v>90.412000000000006</v>
      </c>
    </row>
    <row r="85" spans="1:3" x14ac:dyDescent="0.35">
      <c r="A85" s="41" t="s">
        <v>76</v>
      </c>
      <c r="B85" s="29">
        <v>40422</v>
      </c>
      <c r="C85" s="17">
        <v>90.433000000000007</v>
      </c>
    </row>
    <row r="86" spans="1:3" x14ac:dyDescent="0.35">
      <c r="A86" s="41" t="s">
        <v>77</v>
      </c>
      <c r="B86" s="29">
        <v>40452</v>
      </c>
      <c r="C86" s="17">
        <v>90.635000000000005</v>
      </c>
    </row>
    <row r="87" spans="1:3" x14ac:dyDescent="0.35">
      <c r="A87" s="41" t="s">
        <v>78</v>
      </c>
      <c r="B87" s="29">
        <v>40483</v>
      </c>
      <c r="C87" s="17">
        <v>90.93</v>
      </c>
    </row>
    <row r="88" spans="1:3" x14ac:dyDescent="0.35">
      <c r="A88" s="41" t="s">
        <v>79</v>
      </c>
      <c r="B88" s="29">
        <v>40513</v>
      </c>
      <c r="C88" s="17">
        <v>91.661000000000001</v>
      </c>
    </row>
    <row r="89" spans="1:3" x14ac:dyDescent="0.35">
      <c r="A89" s="41" t="s">
        <v>80</v>
      </c>
      <c r="B89" s="29">
        <v>40544</v>
      </c>
      <c r="C89" s="17">
        <v>91.772999999999996</v>
      </c>
    </row>
    <row r="90" spans="1:3" x14ac:dyDescent="0.35">
      <c r="A90" s="41" t="s">
        <v>81</v>
      </c>
      <c r="B90" s="29">
        <v>40575</v>
      </c>
      <c r="C90" s="17">
        <v>92.320999999999998</v>
      </c>
    </row>
    <row r="91" spans="1:3" x14ac:dyDescent="0.35">
      <c r="A91" s="41" t="s">
        <v>82</v>
      </c>
      <c r="B91" s="29">
        <v>40603</v>
      </c>
      <c r="C91" s="17">
        <v>92.563999999999993</v>
      </c>
    </row>
    <row r="92" spans="1:3" x14ac:dyDescent="0.35">
      <c r="A92" s="41" t="s">
        <v>83</v>
      </c>
      <c r="B92" s="29">
        <v>40634</v>
      </c>
      <c r="C92" s="17">
        <v>93.322999999999993</v>
      </c>
    </row>
    <row r="93" spans="1:3" x14ac:dyDescent="0.35">
      <c r="A93" s="41" t="s">
        <v>84</v>
      </c>
      <c r="B93" s="29">
        <v>40664</v>
      </c>
      <c r="C93" s="17">
        <v>93.510999999999996</v>
      </c>
    </row>
    <row r="94" spans="1:3" x14ac:dyDescent="0.35">
      <c r="A94" s="41" t="s">
        <v>85</v>
      </c>
      <c r="B94" s="29">
        <v>40695</v>
      </c>
      <c r="C94" s="17">
        <v>93.456000000000003</v>
      </c>
    </row>
    <row r="95" spans="1:3" x14ac:dyDescent="0.35">
      <c r="A95" s="41" t="s">
        <v>86</v>
      </c>
      <c r="B95" s="29">
        <v>40725</v>
      </c>
      <c r="C95" s="17">
        <v>93.456999999999994</v>
      </c>
    </row>
    <row r="96" spans="1:3" x14ac:dyDescent="0.35">
      <c r="A96" s="41" t="s">
        <v>87</v>
      </c>
      <c r="B96" s="29">
        <v>40756</v>
      </c>
      <c r="C96" s="17">
        <v>93.921999999999997</v>
      </c>
    </row>
    <row r="97" spans="1:3" x14ac:dyDescent="0.35">
      <c r="A97" s="41" t="s">
        <v>88</v>
      </c>
      <c r="B97" s="29">
        <v>40787</v>
      </c>
      <c r="C97" s="17">
        <v>94.459000000000003</v>
      </c>
    </row>
    <row r="98" spans="1:3" x14ac:dyDescent="0.35">
      <c r="A98" s="41" t="s">
        <v>89</v>
      </c>
      <c r="B98" s="29">
        <v>40817</v>
      </c>
      <c r="C98" s="17">
        <v>94.534000000000006</v>
      </c>
    </row>
    <row r="99" spans="1:3" x14ac:dyDescent="0.35">
      <c r="A99" s="41" t="s">
        <v>90</v>
      </c>
      <c r="B99" s="29">
        <v>40848</v>
      </c>
      <c r="C99" s="17">
        <v>94.674999999999997</v>
      </c>
    </row>
    <row r="100" spans="1:3" x14ac:dyDescent="0.35">
      <c r="A100" s="41" t="s">
        <v>91</v>
      </c>
      <c r="B100" s="29">
        <v>40878</v>
      </c>
      <c r="C100" s="17">
        <v>95.03</v>
      </c>
    </row>
    <row r="101" spans="1:3" x14ac:dyDescent="0.35">
      <c r="A101" s="37">
        <v>201201</v>
      </c>
      <c r="B101" s="29">
        <v>40909</v>
      </c>
      <c r="C101" s="17">
        <v>94.677000000000007</v>
      </c>
    </row>
    <row r="102" spans="1:3" x14ac:dyDescent="0.35">
      <c r="A102" s="37">
        <v>201202</v>
      </c>
      <c r="B102" s="29">
        <v>40940</v>
      </c>
      <c r="C102" s="17">
        <v>95.156999999999996</v>
      </c>
    </row>
    <row r="103" spans="1:3" x14ac:dyDescent="0.35">
      <c r="A103" s="37">
        <v>201203</v>
      </c>
      <c r="B103" s="29">
        <v>40969</v>
      </c>
      <c r="C103" s="17">
        <v>95.411000000000001</v>
      </c>
    </row>
    <row r="104" spans="1:3" x14ac:dyDescent="0.35">
      <c r="A104" s="37">
        <v>201204</v>
      </c>
      <c r="B104" s="29">
        <v>41000</v>
      </c>
      <c r="C104" s="17">
        <v>95.897000000000006</v>
      </c>
    </row>
    <row r="105" spans="1:3" x14ac:dyDescent="0.35">
      <c r="A105" s="37">
        <v>201205</v>
      </c>
      <c r="B105" s="29">
        <v>41030</v>
      </c>
      <c r="C105" s="17">
        <v>95.875</v>
      </c>
    </row>
    <row r="106" spans="1:3" x14ac:dyDescent="0.35">
      <c r="A106" s="37">
        <v>201206</v>
      </c>
      <c r="B106" s="29">
        <v>41061</v>
      </c>
      <c r="C106" s="17">
        <v>95.581000000000003</v>
      </c>
    </row>
    <row r="107" spans="1:3" x14ac:dyDescent="0.35">
      <c r="A107" s="37">
        <v>201207</v>
      </c>
      <c r="B107" s="29">
        <v>41091</v>
      </c>
      <c r="C107" s="17">
        <v>95.665000000000006</v>
      </c>
    </row>
    <row r="108" spans="1:3" x14ac:dyDescent="0.35">
      <c r="A108" s="37">
        <v>201208</v>
      </c>
      <c r="B108" s="29">
        <v>41122</v>
      </c>
      <c r="C108" s="17">
        <v>96.081000000000003</v>
      </c>
    </row>
    <row r="109" spans="1:3" x14ac:dyDescent="0.35">
      <c r="A109" s="37">
        <v>201209</v>
      </c>
      <c r="B109" s="29">
        <v>41153</v>
      </c>
      <c r="C109" s="17">
        <v>96.418000000000006</v>
      </c>
    </row>
    <row r="110" spans="1:3" x14ac:dyDescent="0.35">
      <c r="A110" s="37">
        <v>201210</v>
      </c>
      <c r="B110" s="29">
        <v>41183</v>
      </c>
      <c r="C110" s="17">
        <v>96.831000000000003</v>
      </c>
    </row>
    <row r="111" spans="1:3" x14ac:dyDescent="0.35">
      <c r="A111" s="37">
        <v>201211</v>
      </c>
      <c r="B111" s="29">
        <v>41214</v>
      </c>
      <c r="C111" s="17">
        <v>96.971999999999994</v>
      </c>
    </row>
    <row r="112" spans="1:3" x14ac:dyDescent="0.35">
      <c r="A112" s="37">
        <v>201212</v>
      </c>
      <c r="B112" s="29">
        <v>41244</v>
      </c>
      <c r="C112" s="17">
        <v>97.343999999999994</v>
      </c>
    </row>
    <row r="113" spans="1:3" x14ac:dyDescent="0.35">
      <c r="A113" s="37">
        <v>201301</v>
      </c>
      <c r="B113" s="29">
        <v>41275</v>
      </c>
      <c r="C113" s="17">
        <v>96.975999999999999</v>
      </c>
    </row>
    <row r="114" spans="1:3" x14ac:dyDescent="0.35">
      <c r="A114" s="37">
        <v>201302</v>
      </c>
      <c r="B114" s="29">
        <v>41306</v>
      </c>
      <c r="C114" s="17">
        <v>97.52</v>
      </c>
    </row>
    <row r="115" spans="1:3" x14ac:dyDescent="0.35">
      <c r="A115" s="37">
        <v>201303</v>
      </c>
      <c r="B115" s="29">
        <v>41334</v>
      </c>
      <c r="C115" s="17">
        <v>97.808999999999997</v>
      </c>
    </row>
    <row r="116" spans="1:3" x14ac:dyDescent="0.35">
      <c r="A116" s="37">
        <v>201304</v>
      </c>
      <c r="B116" s="29">
        <v>41365</v>
      </c>
      <c r="C116" s="17">
        <v>97.998000000000005</v>
      </c>
    </row>
    <row r="117" spans="1:3" x14ac:dyDescent="0.35">
      <c r="A117" s="37">
        <v>201305</v>
      </c>
      <c r="B117" s="29">
        <v>41395</v>
      </c>
      <c r="C117" s="17">
        <v>98.191999999999993</v>
      </c>
    </row>
    <row r="118" spans="1:3" x14ac:dyDescent="0.35">
      <c r="A118" s="38">
        <v>201306</v>
      </c>
      <c r="B118" s="35">
        <v>41426</v>
      </c>
      <c r="C118" s="17">
        <v>98.046000000000006</v>
      </c>
    </row>
    <row r="119" spans="1:3" x14ac:dyDescent="0.35">
      <c r="A119" s="38">
        <v>201307</v>
      </c>
      <c r="B119" s="35">
        <v>41456</v>
      </c>
      <c r="C119" s="17">
        <v>98.028000000000006</v>
      </c>
    </row>
    <row r="120" spans="1:3" x14ac:dyDescent="0.35">
      <c r="A120" s="38">
        <v>201308</v>
      </c>
      <c r="B120" s="35">
        <v>41487</v>
      </c>
      <c r="C120" s="17">
        <v>98.397999999999996</v>
      </c>
    </row>
    <row r="121" spans="1:3" x14ac:dyDescent="0.35">
      <c r="A121" s="38">
        <v>201309</v>
      </c>
      <c r="B121" s="35">
        <v>41518</v>
      </c>
      <c r="C121" s="17">
        <v>98.683999999999997</v>
      </c>
    </row>
    <row r="122" spans="1:3" x14ac:dyDescent="0.35">
      <c r="A122" s="38">
        <v>201310</v>
      </c>
      <c r="B122" s="35">
        <v>41548</v>
      </c>
      <c r="C122" s="17">
        <v>98.751999999999995</v>
      </c>
    </row>
    <row r="123" spans="1:3" x14ac:dyDescent="0.35">
      <c r="A123" s="38">
        <v>201311</v>
      </c>
      <c r="B123" s="35">
        <v>41579</v>
      </c>
      <c r="C123" s="17">
        <v>98.822999999999993</v>
      </c>
    </row>
    <row r="124" spans="1:3" x14ac:dyDescent="0.35">
      <c r="A124" s="38">
        <v>201312</v>
      </c>
      <c r="B124" s="35">
        <v>41609</v>
      </c>
      <c r="C124" s="17">
        <v>99.174999999999997</v>
      </c>
    </row>
    <row r="125" spans="1:3" x14ac:dyDescent="0.35">
      <c r="A125" s="38">
        <v>201401</v>
      </c>
      <c r="B125" s="35">
        <v>41640</v>
      </c>
      <c r="C125" s="17">
        <v>98.703999999999994</v>
      </c>
    </row>
    <row r="126" spans="1:3" x14ac:dyDescent="0.35">
      <c r="A126" s="38">
        <v>201402</v>
      </c>
      <c r="B126" s="35">
        <v>41671</v>
      </c>
      <c r="C126" s="17">
        <v>99.113</v>
      </c>
    </row>
    <row r="127" spans="1:3" x14ac:dyDescent="0.35">
      <c r="A127" s="38">
        <v>201403</v>
      </c>
      <c r="B127" s="35">
        <v>41699</v>
      </c>
      <c r="C127" s="17">
        <v>99.305000000000007</v>
      </c>
    </row>
    <row r="128" spans="1:3" x14ac:dyDescent="0.35">
      <c r="A128" s="38">
        <v>201404</v>
      </c>
      <c r="B128" s="35">
        <v>41730</v>
      </c>
      <c r="C128" s="17">
        <v>99.641000000000005</v>
      </c>
    </row>
    <row r="129" spans="1:3" x14ac:dyDescent="0.35">
      <c r="A129" s="38">
        <v>201405</v>
      </c>
      <c r="B129" s="35">
        <v>41760</v>
      </c>
      <c r="C129" s="17">
        <v>99.622</v>
      </c>
    </row>
    <row r="130" spans="1:3" x14ac:dyDescent="0.35">
      <c r="A130" s="38">
        <v>201406</v>
      </c>
      <c r="B130" s="35">
        <v>41791</v>
      </c>
      <c r="C130" s="17">
        <v>99.798000000000002</v>
      </c>
    </row>
    <row r="131" spans="1:3" x14ac:dyDescent="0.35">
      <c r="A131" s="38">
        <v>201407</v>
      </c>
      <c r="B131" s="35">
        <v>41821</v>
      </c>
      <c r="C131" s="17">
        <v>99.566999999999993</v>
      </c>
    </row>
    <row r="132" spans="1:3" x14ac:dyDescent="0.35">
      <c r="A132" s="38">
        <v>201408</v>
      </c>
      <c r="B132" s="35">
        <v>41852</v>
      </c>
      <c r="C132" s="17">
        <v>99.912999999999997</v>
      </c>
    </row>
    <row r="133" spans="1:3" x14ac:dyDescent="0.35">
      <c r="A133" s="38">
        <v>201409</v>
      </c>
      <c r="B133" s="35">
        <v>41883</v>
      </c>
      <c r="C133" s="17">
        <v>99.956999999999994</v>
      </c>
    </row>
    <row r="134" spans="1:3" x14ac:dyDescent="0.35">
      <c r="A134" s="38">
        <v>201410</v>
      </c>
      <c r="B134" s="35">
        <v>41913</v>
      </c>
      <c r="C134" s="17">
        <v>100.08499999999999</v>
      </c>
    </row>
    <row r="135" spans="1:3" x14ac:dyDescent="0.35">
      <c r="A135" s="38">
        <v>201411</v>
      </c>
      <c r="B135" s="35">
        <v>41944</v>
      </c>
      <c r="C135" s="17">
        <v>99.893000000000001</v>
      </c>
    </row>
    <row r="136" spans="1:3" x14ac:dyDescent="0.35">
      <c r="A136" s="38">
        <v>201412</v>
      </c>
      <c r="B136" s="35">
        <v>41974</v>
      </c>
      <c r="C136" s="17">
        <v>99.912000000000006</v>
      </c>
    </row>
    <row r="137" spans="1:3" x14ac:dyDescent="0.35">
      <c r="A137" s="38">
        <v>201501</v>
      </c>
      <c r="B137" s="35">
        <v>42005</v>
      </c>
      <c r="C137" s="17">
        <v>99.241</v>
      </c>
    </row>
    <row r="138" spans="1:3" x14ac:dyDescent="0.35">
      <c r="A138" s="38">
        <v>201502</v>
      </c>
      <c r="B138" s="35">
        <v>42036</v>
      </c>
      <c r="C138" s="17">
        <v>99.463999999999999</v>
      </c>
    </row>
    <row r="139" spans="1:3" x14ac:dyDescent="0.35">
      <c r="A139" s="38">
        <v>201503</v>
      </c>
      <c r="B139" s="35">
        <v>42064</v>
      </c>
      <c r="C139" s="17">
        <v>99.64</v>
      </c>
    </row>
    <row r="140" spans="1:3" x14ac:dyDescent="0.35">
      <c r="A140" s="38">
        <v>201504</v>
      </c>
      <c r="B140" s="35">
        <v>42095</v>
      </c>
      <c r="C140" s="17">
        <v>99.897000000000006</v>
      </c>
    </row>
    <row r="141" spans="1:3" x14ac:dyDescent="0.35">
      <c r="A141" s="38">
        <v>201505</v>
      </c>
      <c r="B141" s="35">
        <v>42125</v>
      </c>
      <c r="C141" s="17">
        <v>100.063</v>
      </c>
    </row>
    <row r="142" spans="1:3" x14ac:dyDescent="0.35">
      <c r="A142" s="38">
        <v>201506</v>
      </c>
      <c r="B142" s="35">
        <v>42156</v>
      </c>
      <c r="C142" s="17">
        <v>100.121</v>
      </c>
    </row>
    <row r="143" spans="1:3" s="18" customFormat="1" x14ac:dyDescent="0.35">
      <c r="A143" s="38">
        <v>201507</v>
      </c>
      <c r="B143" s="35">
        <v>42186</v>
      </c>
      <c r="C143" s="17">
        <v>100.026</v>
      </c>
    </row>
    <row r="144" spans="1:3" s="18" customFormat="1" x14ac:dyDescent="0.35">
      <c r="A144" s="38">
        <v>201508</v>
      </c>
      <c r="B144" s="35">
        <v>42217</v>
      </c>
      <c r="C144" s="17">
        <v>100.265</v>
      </c>
    </row>
    <row r="145" spans="1:3" s="18" customFormat="1" x14ac:dyDescent="0.35">
      <c r="A145" s="38">
        <v>201509</v>
      </c>
      <c r="B145" s="35">
        <v>42248</v>
      </c>
      <c r="C145" s="17">
        <v>100.197</v>
      </c>
    </row>
    <row r="146" spans="1:3" s="18" customFormat="1" x14ac:dyDescent="0.35">
      <c r="A146" s="38">
        <v>201510</v>
      </c>
      <c r="B146" s="35">
        <v>42278</v>
      </c>
      <c r="C146" s="17">
        <v>100.325</v>
      </c>
    </row>
    <row r="147" spans="1:3" s="18" customFormat="1" x14ac:dyDescent="0.35">
      <c r="A147" s="38">
        <v>201511</v>
      </c>
      <c r="B147" s="35">
        <v>42309</v>
      </c>
      <c r="C147" s="17">
        <v>100.333</v>
      </c>
    </row>
    <row r="148" spans="1:3" s="21" customFormat="1" x14ac:dyDescent="0.35">
      <c r="A148" s="38">
        <v>201512</v>
      </c>
      <c r="B148" s="35">
        <v>42339</v>
      </c>
      <c r="C148" s="17">
        <v>100.429</v>
      </c>
    </row>
    <row r="149" spans="1:3" s="21" customFormat="1" x14ac:dyDescent="0.35">
      <c r="A149" s="38">
        <v>201601</v>
      </c>
      <c r="B149" s="35">
        <v>42370</v>
      </c>
      <c r="C149" s="16">
        <v>99.861999999999995</v>
      </c>
    </row>
    <row r="150" spans="1:3" s="11" customFormat="1" x14ac:dyDescent="0.35">
      <c r="A150" s="38">
        <v>201602</v>
      </c>
      <c r="B150" s="35">
        <v>42401</v>
      </c>
      <c r="C150" s="16">
        <v>100.07899999999999</v>
      </c>
    </row>
    <row r="151" spans="1:3" s="11" customFormat="1" x14ac:dyDescent="0.35">
      <c r="A151" s="38">
        <v>201603</v>
      </c>
      <c r="B151" s="35">
        <v>42430</v>
      </c>
      <c r="C151" s="16">
        <v>100.389</v>
      </c>
    </row>
    <row r="152" spans="1:3" s="11" customFormat="1" x14ac:dyDescent="0.35">
      <c r="A152" s="38">
        <v>201604</v>
      </c>
      <c r="B152" s="35">
        <v>42461</v>
      </c>
      <c r="C152" s="16">
        <v>100.58199999999999</v>
      </c>
    </row>
    <row r="153" spans="1:3" s="11" customFormat="1" x14ac:dyDescent="0.35">
      <c r="A153" s="38">
        <v>201605</v>
      </c>
      <c r="B153" s="35">
        <v>42491</v>
      </c>
      <c r="C153" s="16">
        <v>100.77200000000001</v>
      </c>
    </row>
    <row r="154" spans="1:3" s="11" customFormat="1" x14ac:dyDescent="0.35">
      <c r="A154" s="38">
        <v>201606</v>
      </c>
      <c r="B154" s="35">
        <v>42522</v>
      </c>
      <c r="C154" s="16">
        <v>100.95099999999999</v>
      </c>
    </row>
    <row r="155" spans="1:3" s="11" customFormat="1" x14ac:dyDescent="0.35">
      <c r="A155" s="38">
        <v>201607</v>
      </c>
      <c r="B155" s="35">
        <v>42552</v>
      </c>
      <c r="C155" s="16">
        <v>100.928</v>
      </c>
    </row>
    <row r="156" spans="1:3" s="10" customFormat="1" x14ac:dyDescent="0.35">
      <c r="A156" s="38">
        <v>201608</v>
      </c>
      <c r="B156" s="35">
        <v>42583</v>
      </c>
      <c r="C156" s="16">
        <v>101.223</v>
      </c>
    </row>
    <row r="157" spans="1:3" s="10" customFormat="1" x14ac:dyDescent="0.35">
      <c r="A157" s="38">
        <v>201609</v>
      </c>
      <c r="B157" s="35">
        <v>42614</v>
      </c>
      <c r="C157" s="16">
        <v>101.461</v>
      </c>
    </row>
    <row r="158" spans="1:3" s="21" customFormat="1" x14ac:dyDescent="0.35">
      <c r="A158" s="38">
        <v>201610</v>
      </c>
      <c r="B158" s="35">
        <v>42644</v>
      </c>
      <c r="C158" s="16">
        <v>101.589</v>
      </c>
    </row>
    <row r="159" spans="1:3" s="21" customFormat="1" x14ac:dyDescent="0.35">
      <c r="A159" s="38">
        <v>201611</v>
      </c>
      <c r="B159" s="35">
        <v>42675</v>
      </c>
      <c r="C159" s="16">
        <v>101.795</v>
      </c>
    </row>
    <row r="160" spans="1:3" s="21" customFormat="1" x14ac:dyDescent="0.35">
      <c r="A160" s="38">
        <v>201612</v>
      </c>
      <c r="B160" s="35">
        <v>42705</v>
      </c>
      <c r="C160" s="16">
        <v>102.203</v>
      </c>
    </row>
    <row r="161" spans="1:3" s="21" customFormat="1" x14ac:dyDescent="0.35">
      <c r="A161" s="38">
        <v>201701</v>
      </c>
      <c r="B161" s="35">
        <v>42736</v>
      </c>
      <c r="C161" s="16">
        <v>101.792</v>
      </c>
    </row>
    <row r="162" spans="1:3" s="21" customFormat="1" x14ac:dyDescent="0.35">
      <c r="A162" s="38">
        <v>201702</v>
      </c>
      <c r="B162" s="35">
        <v>42767</v>
      </c>
      <c r="C162" s="16">
        <v>102.40600000000001</v>
      </c>
    </row>
    <row r="163" spans="1:3" s="21" customFormat="1" x14ac:dyDescent="0.35">
      <c r="A163" s="38">
        <v>201703</v>
      </c>
      <c r="B163" s="35">
        <v>42795</v>
      </c>
      <c r="C163" s="16">
        <v>102.732</v>
      </c>
    </row>
    <row r="164" spans="1:3" s="21" customFormat="1" x14ac:dyDescent="0.35">
      <c r="A164" s="38">
        <v>201704</v>
      </c>
      <c r="B164" s="35">
        <v>42826</v>
      </c>
      <c r="C164" s="32">
        <v>103.226</v>
      </c>
    </row>
    <row r="165" spans="1:3" s="21" customFormat="1" x14ac:dyDescent="0.35">
      <c r="A165" s="38">
        <v>201705</v>
      </c>
      <c r="B165" s="35">
        <v>42856</v>
      </c>
      <c r="C165" s="32">
        <v>103.533</v>
      </c>
    </row>
    <row r="166" spans="1:3" s="21" customFormat="1" x14ac:dyDescent="0.35">
      <c r="A166" s="38">
        <v>201706</v>
      </c>
      <c r="B166" s="35">
        <v>42887</v>
      </c>
      <c r="C166" s="32">
        <v>103.53400000000001</v>
      </c>
    </row>
    <row r="167" spans="1:3" s="21" customFormat="1" x14ac:dyDescent="0.35">
      <c r="A167" s="38">
        <v>201707</v>
      </c>
      <c r="B167" s="35">
        <v>42917</v>
      </c>
      <c r="C167" s="32">
        <v>103.506</v>
      </c>
    </row>
    <row r="168" spans="1:3" s="21" customFormat="1" x14ac:dyDescent="0.35">
      <c r="A168" s="38">
        <v>201708</v>
      </c>
      <c r="B168" s="35">
        <v>42948</v>
      </c>
      <c r="C168" s="32">
        <v>104.002</v>
      </c>
    </row>
    <row r="169" spans="1:3" s="21" customFormat="1" x14ac:dyDescent="0.35">
      <c r="A169" s="38">
        <v>201709</v>
      </c>
      <c r="B169" s="35">
        <v>42979</v>
      </c>
      <c r="C169" s="34">
        <v>104.312</v>
      </c>
    </row>
    <row r="170" spans="1:3" s="21" customFormat="1" x14ac:dyDescent="0.35">
      <c r="A170" s="38">
        <v>201710</v>
      </c>
      <c r="B170" s="35">
        <v>43009</v>
      </c>
      <c r="C170" s="32">
        <v>104.39700000000001</v>
      </c>
    </row>
    <row r="171" spans="1:3" s="21" customFormat="1" x14ac:dyDescent="0.35">
      <c r="A171" s="38">
        <v>201711</v>
      </c>
      <c r="B171" s="35">
        <v>43040</v>
      </c>
      <c r="C171" s="32">
        <v>104.664</v>
      </c>
    </row>
    <row r="172" spans="1:3" s="36" customFormat="1" x14ac:dyDescent="0.35">
      <c r="A172" s="38">
        <v>201712</v>
      </c>
      <c r="B172" s="35">
        <v>43070</v>
      </c>
      <c r="C172" s="32">
        <v>104.98</v>
      </c>
    </row>
    <row r="173" spans="1:3" s="36" customFormat="1" x14ac:dyDescent="0.35">
      <c r="A173" s="38">
        <v>201801</v>
      </c>
      <c r="B173" s="35">
        <v>43101</v>
      </c>
      <c r="C173" s="32">
        <v>104.544</v>
      </c>
    </row>
    <row r="174" spans="1:3" s="21" customFormat="1" x14ac:dyDescent="0.35">
      <c r="A174" s="38">
        <v>201802</v>
      </c>
      <c r="B174" s="35">
        <v>43132</v>
      </c>
      <c r="C174" s="23">
        <v>104.919</v>
      </c>
    </row>
    <row r="175" spans="1:3" s="36" customFormat="1" x14ac:dyDescent="0.35">
      <c r="A175" s="38">
        <v>201803</v>
      </c>
      <c r="B175" s="35">
        <v>43160</v>
      </c>
      <c r="C175" s="32">
        <v>105.062</v>
      </c>
    </row>
    <row r="176" spans="1:3" s="21" customFormat="1" x14ac:dyDescent="0.35">
      <c r="A176" s="38">
        <v>201804</v>
      </c>
      <c r="B176" s="35">
        <v>43191</v>
      </c>
      <c r="C176" s="32">
        <v>105.524</v>
      </c>
    </row>
    <row r="177" spans="1:3" s="21" customFormat="1" x14ac:dyDescent="0.35">
      <c r="A177" s="38">
        <v>201805</v>
      </c>
      <c r="B177" s="35">
        <v>43221</v>
      </c>
      <c r="C177" s="34">
        <v>105.863</v>
      </c>
    </row>
    <row r="178" spans="1:3" s="21" customFormat="1" x14ac:dyDescent="0.35">
      <c r="A178" s="38">
        <v>201806</v>
      </c>
      <c r="B178" s="35">
        <v>43252</v>
      </c>
      <c r="C178" s="32">
        <v>105.87</v>
      </c>
    </row>
    <row r="179" spans="1:3" s="36" customFormat="1" x14ac:dyDescent="0.35">
      <c r="A179" s="38">
        <v>201807</v>
      </c>
      <c r="B179" s="35">
        <v>43282</v>
      </c>
      <c r="C179" s="32">
        <v>105.85899999999999</v>
      </c>
    </row>
    <row r="180" spans="1:3" s="36" customFormat="1" x14ac:dyDescent="0.35">
      <c r="A180" s="38">
        <v>201808</v>
      </c>
      <c r="B180" s="35">
        <v>43313</v>
      </c>
      <c r="C180" s="32">
        <v>106.5</v>
      </c>
    </row>
    <row r="181" spans="1:3" s="21" customFormat="1" x14ac:dyDescent="0.35">
      <c r="A181" s="38">
        <v>201809</v>
      </c>
      <c r="B181" s="35">
        <v>43344</v>
      </c>
      <c r="C181" s="34">
        <v>106.628</v>
      </c>
    </row>
    <row r="182" spans="1:3" s="21" customFormat="1" x14ac:dyDescent="0.35">
      <c r="A182" s="38">
        <v>201810</v>
      </c>
      <c r="B182" s="35">
        <v>43374</v>
      </c>
      <c r="C182" s="32">
        <v>106.712</v>
      </c>
    </row>
    <row r="183" spans="1:3" s="21" customFormat="1" x14ac:dyDescent="0.35">
      <c r="A183" s="43">
        <v>201811</v>
      </c>
      <c r="B183" s="35">
        <v>43405</v>
      </c>
      <c r="C183" s="32">
        <v>106.92100000000001</v>
      </c>
    </row>
    <row r="184" spans="1:3" s="21" customFormat="1" x14ac:dyDescent="0.35">
      <c r="A184" s="43">
        <v>201812</v>
      </c>
      <c r="B184" s="35">
        <v>43435</v>
      </c>
      <c r="C184" s="32">
        <v>107.066</v>
      </c>
    </row>
    <row r="185" spans="1:3" s="21" customFormat="1" x14ac:dyDescent="0.35">
      <c r="A185" s="43">
        <v>201901</v>
      </c>
      <c r="B185" s="35">
        <v>43466</v>
      </c>
      <c r="C185" s="32">
        <v>106.392</v>
      </c>
    </row>
    <row r="186" spans="1:3" s="21" customFormat="1" x14ac:dyDescent="0.35">
      <c r="A186" s="43">
        <v>201902</v>
      </c>
      <c r="B186" s="35">
        <v>43497</v>
      </c>
      <c r="C186" s="34">
        <v>106.80800000000001</v>
      </c>
    </row>
    <row r="187" spans="1:3" s="21" customFormat="1" x14ac:dyDescent="0.35">
      <c r="A187" s="43">
        <v>201903</v>
      </c>
      <c r="B187" s="35">
        <v>43525</v>
      </c>
      <c r="C187" s="32">
        <v>106.98699999999999</v>
      </c>
    </row>
    <row r="188" spans="1:3" s="21" customFormat="1" x14ac:dyDescent="0.35">
      <c r="A188" s="43">
        <v>201904</v>
      </c>
      <c r="B188" s="35">
        <v>43556</v>
      </c>
      <c r="C188" s="32">
        <v>107.639</v>
      </c>
    </row>
    <row r="189" spans="1:3" s="21" customFormat="1" x14ac:dyDescent="0.35">
      <c r="A189" s="43">
        <v>201905</v>
      </c>
      <c r="B189" s="35">
        <v>43586</v>
      </c>
      <c r="C189" s="32">
        <v>107.919</v>
      </c>
    </row>
    <row r="190" spans="1:3" s="21" customFormat="1" x14ac:dyDescent="0.35">
      <c r="A190" s="43">
        <v>201906</v>
      </c>
      <c r="B190" s="35">
        <v>43617</v>
      </c>
      <c r="C190" s="32">
        <v>107.907</v>
      </c>
    </row>
    <row r="191" spans="1:3" s="21" customFormat="1" x14ac:dyDescent="0.35">
      <c r="A191" s="43">
        <v>201907</v>
      </c>
      <c r="B191" s="35">
        <v>43647</v>
      </c>
      <c r="C191" s="32">
        <v>107.953</v>
      </c>
    </row>
    <row r="192" spans="1:3" s="21" customFormat="1" x14ac:dyDescent="0.35">
      <c r="A192" s="43">
        <v>201908</v>
      </c>
      <c r="B192" s="35">
        <v>43678</v>
      </c>
      <c r="C192" s="34">
        <v>108.301</v>
      </c>
    </row>
    <row r="193" spans="1:3" s="21" customFormat="1" x14ac:dyDescent="0.35">
      <c r="A193" s="43">
        <v>201909</v>
      </c>
      <c r="B193" s="35">
        <v>43709</v>
      </c>
      <c r="C193" s="32">
        <v>108.414</v>
      </c>
    </row>
    <row r="194" spans="1:3" s="21" customFormat="1" x14ac:dyDescent="0.35">
      <c r="A194" s="43">
        <v>201910</v>
      </c>
      <c r="B194" s="35">
        <v>43739</v>
      </c>
      <c r="C194" s="32">
        <v>108.285</v>
      </c>
    </row>
    <row r="195" spans="1:3" s="21" customFormat="1" x14ac:dyDescent="0.35">
      <c r="A195" s="43">
        <v>201911</v>
      </c>
      <c r="B195" s="35">
        <v>43770</v>
      </c>
      <c r="C195" s="33">
        <v>108.51600000000001</v>
      </c>
    </row>
    <row r="196" spans="1:3" s="21" customFormat="1" x14ac:dyDescent="0.35">
      <c r="A196" s="43">
        <v>201912</v>
      </c>
      <c r="B196" s="35">
        <v>43800</v>
      </c>
      <c r="C196" s="33">
        <v>108.52</v>
      </c>
    </row>
    <row r="197" spans="1:3" s="21" customFormat="1" x14ac:dyDescent="0.35">
      <c r="A197" s="43">
        <v>202001</v>
      </c>
      <c r="B197" s="35">
        <v>43831</v>
      </c>
      <c r="C197" s="32">
        <v>108.268</v>
      </c>
    </row>
    <row r="198" spans="1:3" s="21" customFormat="1" x14ac:dyDescent="0.35">
      <c r="A198" s="43">
        <v>202002</v>
      </c>
      <c r="B198" s="35">
        <v>43862</v>
      </c>
      <c r="C198" s="32">
        <v>108.631</v>
      </c>
    </row>
    <row r="199" spans="1:3" s="21" customFormat="1" x14ac:dyDescent="0.35">
      <c r="A199" s="43">
        <v>202003</v>
      </c>
      <c r="B199" s="35">
        <v>43891</v>
      </c>
      <c r="C199" s="32">
        <v>108.637</v>
      </c>
    </row>
    <row r="200" spans="1:3" s="21" customFormat="1" x14ac:dyDescent="0.35">
      <c r="A200" s="43">
        <v>202004</v>
      </c>
      <c r="B200" s="35">
        <v>43922</v>
      </c>
      <c r="C200" s="32">
        <v>108.63</v>
      </c>
    </row>
    <row r="201" spans="1:3" s="21" customFormat="1" x14ac:dyDescent="0.35">
      <c r="A201" s="43">
        <v>202005</v>
      </c>
      <c r="B201" s="35">
        <v>43952</v>
      </c>
      <c r="C201" s="32">
        <v>108.648</v>
      </c>
    </row>
    <row r="202" spans="1:3" s="21" customFormat="1" x14ac:dyDescent="0.35">
      <c r="A202" s="43">
        <v>202006</v>
      </c>
      <c r="B202" s="35">
        <v>43983</v>
      </c>
      <c r="C202" s="32">
        <v>108.76900000000001</v>
      </c>
    </row>
    <row r="203" spans="1:3" s="21" customFormat="1" x14ac:dyDescent="0.35">
      <c r="A203" s="43">
        <v>202007</v>
      </c>
      <c r="B203" s="35">
        <v>44013</v>
      </c>
      <c r="C203" s="32">
        <v>109.184</v>
      </c>
    </row>
    <row r="204" spans="1:3" s="21" customFormat="1" x14ac:dyDescent="0.35">
      <c r="A204" s="1">
        <v>202008</v>
      </c>
      <c r="B204" s="35">
        <v>44044</v>
      </c>
      <c r="C204" s="32">
        <v>108.834</v>
      </c>
    </row>
    <row r="205" spans="1:3" s="21" customFormat="1" x14ac:dyDescent="0.35">
      <c r="A205" s="43">
        <v>202009</v>
      </c>
      <c r="B205" s="35">
        <v>44075</v>
      </c>
      <c r="C205">
        <v>109.21899999999999</v>
      </c>
    </row>
    <row r="206" spans="1:3" s="21" customFormat="1" x14ac:dyDescent="0.35">
      <c r="A206" s="43">
        <v>202010</v>
      </c>
      <c r="B206" s="35">
        <v>44105</v>
      </c>
      <c r="C206" s="32">
        <v>109.242</v>
      </c>
    </row>
    <row r="207" spans="1:3" s="21" customFormat="1" x14ac:dyDescent="0.35">
      <c r="A207" s="43">
        <v>202011</v>
      </c>
      <c r="B207" s="35">
        <v>44136</v>
      </c>
      <c r="C207" s="32">
        <v>109.137</v>
      </c>
    </row>
    <row r="208" spans="1:3" s="21" customFormat="1" x14ac:dyDescent="0.35">
      <c r="A208" s="43">
        <v>202012</v>
      </c>
      <c r="B208" s="35">
        <v>44166</v>
      </c>
      <c r="C208" s="32">
        <v>109.404</v>
      </c>
    </row>
    <row r="209" spans="1:3" s="48" customFormat="1" x14ac:dyDescent="0.35">
      <c r="A209" s="5">
        <v>202101</v>
      </c>
      <c r="B209" s="31">
        <v>44197</v>
      </c>
      <c r="C209" s="33">
        <v>109.276</v>
      </c>
    </row>
    <row r="210" spans="1:3" s="48" customFormat="1" x14ac:dyDescent="0.35">
      <c r="A210" s="44">
        <v>202102</v>
      </c>
      <c r="B210" s="31">
        <v>44228</v>
      </c>
      <c r="C210" s="32">
        <v>109.42400000000001</v>
      </c>
    </row>
    <row r="211" spans="1:3" s="21" customFormat="1" x14ac:dyDescent="0.35">
      <c r="A211" s="44">
        <v>202103</v>
      </c>
      <c r="B211" s="31">
        <v>44256</v>
      </c>
      <c r="C211" s="34">
        <v>109.676</v>
      </c>
    </row>
    <row r="212" spans="1:3" s="21" customFormat="1" x14ac:dyDescent="0.35">
      <c r="A212" s="44">
        <v>202104</v>
      </c>
      <c r="B212" s="31">
        <v>44287</v>
      </c>
      <c r="C212" s="32">
        <v>110.40300000000001</v>
      </c>
    </row>
    <row r="213" spans="1:3" s="21" customFormat="1" x14ac:dyDescent="0.35">
      <c r="A213" s="44">
        <v>202105</v>
      </c>
      <c r="B213" s="31">
        <v>44317</v>
      </c>
      <c r="C213" s="32">
        <v>110.953</v>
      </c>
    </row>
    <row r="214" spans="1:3" s="21" customFormat="1" x14ac:dyDescent="0.35">
      <c r="A214" s="5">
        <v>202106</v>
      </c>
      <c r="B214" s="31">
        <v>44348</v>
      </c>
      <c r="C214" s="32">
        <v>111.432</v>
      </c>
    </row>
    <row r="215" spans="1:3" s="21" customFormat="1" x14ac:dyDescent="0.35">
      <c r="A215" s="44">
        <v>202107</v>
      </c>
      <c r="B215" s="31">
        <v>44378</v>
      </c>
      <c r="C215" s="32">
        <v>111.44499999999999</v>
      </c>
    </row>
    <row r="216" spans="1:3" s="21" customFormat="1" x14ac:dyDescent="0.35">
      <c r="A216" s="44">
        <v>202108</v>
      </c>
      <c r="B216" s="31">
        <v>44409</v>
      </c>
      <c r="C216" s="49">
        <v>112.114</v>
      </c>
    </row>
    <row r="217" spans="1:3" s="21" customFormat="1" x14ac:dyDescent="0.35">
      <c r="A217" s="44">
        <v>202109</v>
      </c>
      <c r="B217" s="31">
        <v>44440</v>
      </c>
      <c r="C217" s="49">
        <v>112.40900000000001</v>
      </c>
    </row>
    <row r="218" spans="1:3" s="21" customFormat="1" x14ac:dyDescent="0.35">
      <c r="A218" s="44">
        <v>202110</v>
      </c>
      <c r="B218" s="31">
        <v>44470</v>
      </c>
      <c r="C218" s="49">
        <v>113.425</v>
      </c>
    </row>
    <row r="219" spans="1:3" s="21" customFormat="1" x14ac:dyDescent="0.35">
      <c r="A219" s="44">
        <v>202111</v>
      </c>
      <c r="B219" s="31">
        <v>44501</v>
      </c>
      <c r="C219" s="51">
        <v>114.134</v>
      </c>
    </row>
    <row r="220" spans="1:3" s="21" customFormat="1" x14ac:dyDescent="0.35">
      <c r="A220" s="44">
        <v>202112</v>
      </c>
      <c r="B220" s="31">
        <v>44531</v>
      </c>
      <c r="C220" s="50">
        <v>114.682</v>
      </c>
    </row>
    <row r="221" spans="1:3" s="21" customFormat="1" x14ac:dyDescent="0.35">
      <c r="A221" s="44">
        <v>202201</v>
      </c>
      <c r="B221" s="31">
        <v>44562</v>
      </c>
      <c r="C221" s="49">
        <v>114.636</v>
      </c>
    </row>
    <row r="222" spans="1:3" s="21" customFormat="1" x14ac:dyDescent="0.35">
      <c r="A222" s="44">
        <v>202202</v>
      </c>
      <c r="B222" s="31">
        <v>44593</v>
      </c>
      <c r="C222" s="52">
        <v>115.42100000000001</v>
      </c>
    </row>
    <row r="223" spans="1:3" s="21" customFormat="1" x14ac:dyDescent="0.35">
      <c r="A223" s="44">
        <v>202203</v>
      </c>
      <c r="B223" s="31">
        <v>44621</v>
      </c>
      <c r="C223" s="51">
        <v>116.502</v>
      </c>
    </row>
    <row r="224" spans="1:3" s="21" customFormat="1" x14ac:dyDescent="0.35">
      <c r="A224" s="44">
        <v>202204</v>
      </c>
      <c r="B224" s="45">
        <v>44652</v>
      </c>
      <c r="C224" s="34">
        <v>119.001</v>
      </c>
    </row>
    <row r="225" spans="1:4" s="21" customFormat="1" x14ac:dyDescent="0.35">
      <c r="A225" s="44">
        <v>202205</v>
      </c>
      <c r="B225" s="31">
        <v>44682</v>
      </c>
      <c r="C225" s="53">
        <v>119.69799999999999</v>
      </c>
    </row>
    <row r="226" spans="1:4" s="21" customFormat="1" x14ac:dyDescent="0.35">
      <c r="A226" s="44">
        <v>202206</v>
      </c>
      <c r="B226" s="31">
        <v>44713</v>
      </c>
      <c r="C226" s="49">
        <v>120.542</v>
      </c>
      <c r="D226" s="53"/>
    </row>
    <row r="227" spans="1:4" s="21" customFormat="1" x14ac:dyDescent="0.35">
      <c r="A227" s="44">
        <v>202207</v>
      </c>
      <c r="B227" s="45">
        <v>44743</v>
      </c>
      <c r="C227" s="32">
        <v>121.218</v>
      </c>
      <c r="D227" s="53"/>
    </row>
    <row r="228" spans="1:4" s="21" customFormat="1" x14ac:dyDescent="0.35">
      <c r="A228" s="44">
        <v>202208</v>
      </c>
      <c r="B228" s="31">
        <v>44774</v>
      </c>
      <c r="C228" s="32">
        <v>121.77200000000001</v>
      </c>
      <c r="D228" s="53"/>
    </row>
    <row r="229" spans="1:4" s="21" customFormat="1" x14ac:dyDescent="0.35">
      <c r="A229" s="44">
        <v>202209</v>
      </c>
      <c r="B229" s="31">
        <v>44805</v>
      </c>
      <c r="C229" s="54">
        <v>122.32</v>
      </c>
      <c r="D229" s="53"/>
    </row>
    <row r="230" spans="1:4" s="21" customFormat="1" x14ac:dyDescent="0.35">
      <c r="A230" s="44">
        <v>202210</v>
      </c>
      <c r="B230" s="31">
        <v>44835</v>
      </c>
      <c r="C230" s="55">
        <v>124.31100000000001</v>
      </c>
      <c r="D230" s="53"/>
    </row>
    <row r="231" spans="1:4" s="21" customFormat="1" x14ac:dyDescent="0.35">
      <c r="A231" s="44">
        <v>202211</v>
      </c>
      <c r="B231" s="31">
        <v>44866</v>
      </c>
      <c r="C231" s="49">
        <v>124.78700000000001</v>
      </c>
      <c r="D231" s="53"/>
    </row>
    <row r="232" spans="1:4" s="21" customFormat="1" x14ac:dyDescent="0.35">
      <c r="A232" s="44">
        <v>202212</v>
      </c>
      <c r="B232" s="31">
        <v>44896</v>
      </c>
      <c r="C232" s="50">
        <v>125.28400000000001</v>
      </c>
      <c r="D232" s="53"/>
    </row>
    <row r="233" spans="1:4" s="21" customFormat="1" x14ac:dyDescent="0.35">
      <c r="A233" s="44">
        <v>202301</v>
      </c>
      <c r="B233" s="31">
        <v>44927</v>
      </c>
      <c r="C233" s="53">
        <v>124.774</v>
      </c>
      <c r="D233" s="53"/>
    </row>
    <row r="234" spans="1:4" s="21" customFormat="1" x14ac:dyDescent="0.35">
      <c r="A234" s="44">
        <v>202302</v>
      </c>
      <c r="B234" s="31">
        <v>44958</v>
      </c>
      <c r="C234" s="56">
        <v>125.992</v>
      </c>
      <c r="D234" s="53"/>
    </row>
    <row r="235" spans="1:4" s="21" customFormat="1" x14ac:dyDescent="0.35">
      <c r="A235" s="44">
        <v>202303</v>
      </c>
      <c r="B235" s="31">
        <v>44986</v>
      </c>
      <c r="C235" s="56">
        <v>126.82899999999999</v>
      </c>
      <c r="D235" s="53"/>
    </row>
    <row r="236" spans="1:4" s="21" customFormat="1" x14ac:dyDescent="0.35">
      <c r="A236" s="44">
        <v>202304</v>
      </c>
      <c r="B236" s="31">
        <v>45017</v>
      </c>
      <c r="C236" s="57">
        <v>128.339</v>
      </c>
      <c r="D236" s="53"/>
    </row>
    <row r="237" spans="1:4" s="21" customFormat="1" x14ac:dyDescent="0.35">
      <c r="A237" s="44">
        <v>202305</v>
      </c>
      <c r="B237" s="31">
        <v>45047</v>
      </c>
      <c r="C237" s="58">
        <v>129.12700000000001</v>
      </c>
      <c r="D237" s="53"/>
    </row>
    <row r="238" spans="1:4" s="21" customFormat="1" x14ac:dyDescent="0.35">
      <c r="A238" s="44">
        <v>202306</v>
      </c>
      <c r="B238" s="31">
        <v>45078</v>
      </c>
      <c r="C238" s="32">
        <v>129.35400000000001</v>
      </c>
      <c r="D238" s="53"/>
    </row>
    <row r="239" spans="1:4" s="21" customFormat="1" x14ac:dyDescent="0.35">
      <c r="A239" s="44">
        <v>202307</v>
      </c>
      <c r="B239" s="31">
        <v>45108</v>
      </c>
      <c r="C239" s="59">
        <v>128.95699999999999</v>
      </c>
      <c r="D239" s="53"/>
    </row>
    <row r="240" spans="1:4" s="21" customFormat="1" x14ac:dyDescent="0.35">
      <c r="A240" s="44">
        <v>202308</v>
      </c>
      <c r="B240" s="31">
        <v>45139</v>
      </c>
      <c r="C240" s="60">
        <v>129.43100000000001</v>
      </c>
      <c r="D240" s="53"/>
    </row>
    <row r="241" spans="1:4" s="21" customFormat="1" x14ac:dyDescent="0.35">
      <c r="A241" s="44">
        <v>202309</v>
      </c>
      <c r="B241" s="31">
        <v>45170</v>
      </c>
      <c r="C241" s="61">
        <v>130.071</v>
      </c>
      <c r="D241" s="53"/>
    </row>
    <row r="242" spans="1:4" s="21" customFormat="1" x14ac:dyDescent="0.35">
      <c r="A242" s="44">
        <v>202310</v>
      </c>
      <c r="B242" s="31">
        <v>45200</v>
      </c>
      <c r="C242" s="62">
        <v>130.21</v>
      </c>
      <c r="D242" s="53"/>
    </row>
    <row r="243" spans="1:4" s="21" customFormat="1" x14ac:dyDescent="0.35">
      <c r="A243" s="44">
        <v>202311</v>
      </c>
      <c r="B243" s="31">
        <v>45231</v>
      </c>
      <c r="C243" s="63">
        <v>130.04900000000001</v>
      </c>
      <c r="D243" s="53"/>
    </row>
    <row r="244" spans="1:4" s="21" customFormat="1" x14ac:dyDescent="0.35">
      <c r="A244" s="44">
        <v>202312</v>
      </c>
      <c r="B244" s="31">
        <v>45261</v>
      </c>
      <c r="C244" s="64">
        <v>130.54900000000001</v>
      </c>
      <c r="D244" s="53"/>
    </row>
    <row r="245" spans="1:4" s="21" customFormat="1" x14ac:dyDescent="0.35">
      <c r="A245" s="44">
        <v>202401</v>
      </c>
      <c r="B245" s="31">
        <v>45292</v>
      </c>
      <c r="C245" s="65">
        <v>130.036</v>
      </c>
      <c r="D245" s="53"/>
    </row>
    <row r="246" spans="1:4" s="21" customFormat="1" x14ac:dyDescent="0.35">
      <c r="A246" s="44">
        <v>202402</v>
      </c>
      <c r="B246" s="31">
        <v>45323</v>
      </c>
      <c r="C246" s="66">
        <v>130.83799999999999</v>
      </c>
      <c r="D246" s="53"/>
    </row>
    <row r="247" spans="1:4" s="21" customFormat="1" x14ac:dyDescent="0.35">
      <c r="A247" s="44">
        <v>202403</v>
      </c>
      <c r="B247" s="31">
        <v>45352</v>
      </c>
      <c r="C247" s="67">
        <v>131.59200000000001</v>
      </c>
    </row>
    <row r="248" spans="1:4" s="21" customFormat="1" x14ac:dyDescent="0.35">
      <c r="A248" s="44">
        <v>202404</v>
      </c>
      <c r="B248" s="31">
        <v>45383</v>
      </c>
      <c r="C248" s="68">
        <v>132.24299999999999</v>
      </c>
    </row>
    <row r="249" spans="1:4" s="21" customFormat="1" x14ac:dyDescent="0.35">
      <c r="A249" s="44">
        <v>202405</v>
      </c>
      <c r="B249" s="31">
        <v>45413</v>
      </c>
      <c r="C249" s="69">
        <v>132.72800000000001</v>
      </c>
    </row>
    <row r="250" spans="1:4" s="21" customFormat="1" x14ac:dyDescent="0.35">
      <c r="A250" s="44">
        <v>202406</v>
      </c>
      <c r="B250" s="31">
        <v>45444</v>
      </c>
      <c r="C250" s="70">
        <v>132.98500000000001</v>
      </c>
    </row>
    <row r="251" spans="1:4" s="21" customFormat="1" x14ac:dyDescent="0.35">
      <c r="A251" s="44">
        <v>202407</v>
      </c>
      <c r="B251" s="31">
        <v>45474</v>
      </c>
      <c r="C251" s="71">
        <v>132.935</v>
      </c>
    </row>
    <row r="252" spans="1:4" s="21" customFormat="1" x14ac:dyDescent="0.35">
      <c r="A252" s="44">
        <v>202408</v>
      </c>
      <c r="B252" s="31">
        <v>45505</v>
      </c>
      <c r="C252" s="72">
        <v>133.405</v>
      </c>
    </row>
    <row r="253" spans="1:4" s="21" customFormat="1" x14ac:dyDescent="0.35">
      <c r="A253" s="44">
        <v>202409</v>
      </c>
      <c r="B253" s="31">
        <v>45536</v>
      </c>
      <c r="C253" s="73">
        <v>133.51300000000001</v>
      </c>
    </row>
    <row r="254" spans="1:4" s="21" customFormat="1" x14ac:dyDescent="0.35">
      <c r="A254" s="44">
        <v>202410</v>
      </c>
      <c r="B254" s="31">
        <v>45566</v>
      </c>
      <c r="C254" s="74">
        <v>134.327</v>
      </c>
    </row>
    <row r="255" spans="1:4" s="21" customFormat="1" x14ac:dyDescent="0.35">
      <c r="A255" s="44">
        <v>202411</v>
      </c>
      <c r="B255" s="45">
        <v>45597</v>
      </c>
      <c r="C255" s="75">
        <v>134.614</v>
      </c>
    </row>
    <row r="256" spans="1:4" s="21" customFormat="1" x14ac:dyDescent="0.35">
      <c r="A256" s="44">
        <v>202412</v>
      </c>
      <c r="B256" s="31">
        <v>45627</v>
      </c>
      <c r="C256" s="76">
        <v>135.07</v>
      </c>
    </row>
    <row r="257" spans="1:3" s="21" customFormat="1" x14ac:dyDescent="0.35">
      <c r="A257" s="44">
        <v>202501</v>
      </c>
      <c r="B257" s="31">
        <v>45658</v>
      </c>
      <c r="C257" s="78">
        <v>135.05000000000001</v>
      </c>
    </row>
    <row r="258" spans="1:3" s="21" customFormat="1" x14ac:dyDescent="0.35">
      <c r="A258" s="44">
        <v>202502</v>
      </c>
      <c r="B258" s="31">
        <v>45689</v>
      </c>
      <c r="C258" s="79">
        <v>135.625</v>
      </c>
    </row>
    <row r="259" spans="1:3" s="21" customFormat="1" x14ac:dyDescent="0.35">
      <c r="A259" s="44">
        <v>202503</v>
      </c>
      <c r="B259" s="31">
        <v>45717</v>
      </c>
      <c r="C259" s="80">
        <v>136.09100000000001</v>
      </c>
    </row>
    <row r="260" spans="1:3" s="21" customFormat="1" x14ac:dyDescent="0.35">
      <c r="A260" s="44">
        <v>202504</v>
      </c>
      <c r="B260" s="45">
        <v>45748</v>
      </c>
      <c r="C260" s="81">
        <v>137.71199999999999</v>
      </c>
    </row>
    <row r="261" spans="1:3" s="21" customFormat="1" x14ac:dyDescent="0.35">
      <c r="A261" s="44">
        <v>202505</v>
      </c>
      <c r="B261" s="45">
        <v>45778</v>
      </c>
      <c r="C261" s="82">
        <v>137.99600000000001</v>
      </c>
    </row>
    <row r="262" spans="1:3" s="21" customFormat="1" x14ac:dyDescent="0.35">
      <c r="A262" s="44">
        <v>202506</v>
      </c>
      <c r="B262" s="31">
        <v>45809</v>
      </c>
      <c r="C262" s="84">
        <v>138.428</v>
      </c>
    </row>
    <row r="263" spans="1:3" s="21" customFormat="1" x14ac:dyDescent="0.35">
      <c r="A263" s="44">
        <v>202507</v>
      </c>
      <c r="B263" s="31">
        <v>45839</v>
      </c>
      <c r="C263" s="32">
        <v>138.46799999999999</v>
      </c>
    </row>
    <row r="264" spans="1:3" s="21" customFormat="1" x14ac:dyDescent="0.35">
      <c r="A264" s="44">
        <v>202508</v>
      </c>
      <c r="B264" s="31">
        <v>45870</v>
      </c>
      <c r="C264" s="89">
        <v>138.86699999999999</v>
      </c>
    </row>
    <row r="265" spans="1:3" s="21" customFormat="1" x14ac:dyDescent="0.35">
      <c r="A265" s="44">
        <v>202509</v>
      </c>
      <c r="B265" s="31">
        <v>45901</v>
      </c>
      <c r="C265" s="90">
        <v>138.93600000000001</v>
      </c>
    </row>
    <row r="266" spans="1:3" s="21" customFormat="1" x14ac:dyDescent="0.35">
      <c r="A266" s="44">
        <v>202510</v>
      </c>
      <c r="B266" s="31">
        <v>45931</v>
      </c>
      <c r="C266" s="91">
        <v>139.45400000000001</v>
      </c>
    </row>
    <row r="267" spans="1:3" s="21" customFormat="1" x14ac:dyDescent="0.35">
      <c r="A267" s="44">
        <v>202511</v>
      </c>
      <c r="B267" s="31">
        <v>45962</v>
      </c>
      <c r="C267" s="92">
        <v>139.36099999999999</v>
      </c>
    </row>
    <row r="268" spans="1:3" s="36" customFormat="1" x14ac:dyDescent="0.35">
      <c r="A268" s="93">
        <v>202512</v>
      </c>
      <c r="B268" s="94">
        <v>45992</v>
      </c>
      <c r="C268" s="95">
        <v>139.892</v>
      </c>
    </row>
    <row r="269" spans="1:3" s="36" customFormat="1" x14ac:dyDescent="0.35">
      <c r="A269" s="6"/>
      <c r="B269" s="39"/>
      <c r="C269" s="83"/>
    </row>
    <row r="270" spans="1:3" s="36" customFormat="1" x14ac:dyDescent="0.35">
      <c r="A270" s="26"/>
      <c r="B270" s="2" t="s">
        <v>92</v>
      </c>
      <c r="C270" s="5"/>
    </row>
    <row r="271" spans="1:3" s="36" customFormat="1" x14ac:dyDescent="0.35">
      <c r="A271" s="26"/>
      <c r="B271" s="2"/>
      <c r="C271" s="5"/>
    </row>
    <row r="272" spans="1:3" s="36" customFormat="1" x14ac:dyDescent="0.35">
      <c r="A272" s="30">
        <v>1</v>
      </c>
      <c r="B272" s="85" t="s">
        <v>93</v>
      </c>
      <c r="C272" s="85"/>
    </row>
    <row r="273" spans="1:3" s="36" customFormat="1" x14ac:dyDescent="0.35">
      <c r="A273" s="26"/>
      <c r="B273" t="s">
        <v>94</v>
      </c>
      <c r="C273"/>
    </row>
    <row r="274" spans="1:3" s="36" customFormat="1" x14ac:dyDescent="0.35">
      <c r="A274" s="26"/>
      <c r="B274" t="s">
        <v>95</v>
      </c>
      <c r="C274"/>
    </row>
    <row r="275" spans="1:3" s="36" customFormat="1" x14ac:dyDescent="0.35">
      <c r="A275" s="26"/>
      <c r="B275" t="s">
        <v>96</v>
      </c>
      <c r="C275"/>
    </row>
    <row r="276" spans="1:3" s="36" customFormat="1" x14ac:dyDescent="0.35">
      <c r="A276" s="26"/>
      <c r="B276" s="2"/>
      <c r="C276" s="5"/>
    </row>
    <row r="277" spans="1:3" s="36" customFormat="1" ht="15.5" x14ac:dyDescent="0.35">
      <c r="A277" s="46">
        <v>2</v>
      </c>
      <c r="B277" s="77" t="s">
        <v>97</v>
      </c>
      <c r="C277" s="8"/>
    </row>
    <row r="278" spans="1:3" s="36" customFormat="1" x14ac:dyDescent="0.35">
      <c r="A278" s="9"/>
      <c r="B278" s="8" t="s">
        <v>98</v>
      </c>
      <c r="C278" s="8"/>
    </row>
    <row r="279" spans="1:3" s="36" customFormat="1" x14ac:dyDescent="0.35">
      <c r="A279" s="9"/>
      <c r="B279" s="8" t="s">
        <v>99</v>
      </c>
      <c r="C279" s="8"/>
    </row>
    <row r="280" spans="1:3" s="36" customFormat="1" ht="15.5" x14ac:dyDescent="0.35">
      <c r="A280" s="9"/>
      <c r="B280" s="88" t="s">
        <v>100</v>
      </c>
      <c r="C280" s="8"/>
    </row>
    <row r="281" spans="1:3" s="36" customFormat="1" ht="15.5" x14ac:dyDescent="0.35">
      <c r="A281" s="9"/>
      <c r="B281" s="88" t="s">
        <v>101</v>
      </c>
      <c r="C281"/>
    </row>
    <row r="282" spans="1:3" s="36" customFormat="1" x14ac:dyDescent="0.35">
      <c r="A282" s="9"/>
      <c r="B282" s="8" t="s">
        <v>102</v>
      </c>
      <c r="C282" s="8"/>
    </row>
    <row r="283" spans="1:3" s="36" customFormat="1" x14ac:dyDescent="0.35">
      <c r="A283" s="9"/>
      <c r="B283" s="8"/>
      <c r="C283" s="8"/>
    </row>
    <row r="284" spans="1:3" s="36" customFormat="1" x14ac:dyDescent="0.35">
      <c r="A284" s="5">
        <v>3</v>
      </c>
      <c r="B284" s="85" t="s">
        <v>103</v>
      </c>
      <c r="C284" s="8"/>
    </row>
    <row r="285" spans="1:3" s="36" customFormat="1" x14ac:dyDescent="0.35">
      <c r="A285" s="5"/>
      <c r="B285" s="47" t="s">
        <v>104</v>
      </c>
      <c r="C285" s="86"/>
    </row>
    <row r="286" spans="1:3" s="36" customFormat="1" x14ac:dyDescent="0.35">
      <c r="A286" s="46"/>
      <c r="B286" t="s">
        <v>105</v>
      </c>
      <c r="C286" s="8"/>
    </row>
    <row r="287" spans="1:3" s="36" customFormat="1" x14ac:dyDescent="0.35">
      <c r="A287" s="9"/>
      <c r="B287" t="s">
        <v>106</v>
      </c>
      <c r="C287" s="8"/>
    </row>
    <row r="288" spans="1:3" s="36" customFormat="1" x14ac:dyDescent="0.35">
      <c r="A288" s="9"/>
      <c r="B288" t="s">
        <v>107</v>
      </c>
      <c r="C288" s="8"/>
    </row>
    <row r="289" spans="1:3" s="36" customFormat="1" x14ac:dyDescent="0.35">
      <c r="A289" s="46"/>
      <c r="B289" s="25" t="s">
        <v>108</v>
      </c>
      <c r="C289" s="8"/>
    </row>
    <row r="290" spans="1:3" s="36" customFormat="1" x14ac:dyDescent="0.35">
      <c r="A290" s="46"/>
      <c r="B290" s="87" t="s">
        <v>109</v>
      </c>
      <c r="C290" s="8"/>
    </row>
    <row r="291" spans="1:3" s="36" customFormat="1" x14ac:dyDescent="0.35">
      <c r="A291" s="6"/>
      <c r="B291" s="39"/>
      <c r="C291" s="83"/>
    </row>
    <row r="292" spans="1:3" s="36" customFormat="1" x14ac:dyDescent="0.35">
      <c r="A292" s="1">
        <v>4</v>
      </c>
      <c r="B292" s="1" t="s">
        <v>110</v>
      </c>
      <c r="C292" s="1"/>
    </row>
    <row r="293" spans="1:3" s="36" customFormat="1" x14ac:dyDescent="0.35">
      <c r="A293" s="1"/>
      <c r="B293" s="1" t="s">
        <v>111</v>
      </c>
      <c r="C293" s="1"/>
    </row>
    <row r="294" spans="1:3" s="36" customFormat="1" x14ac:dyDescent="0.35">
      <c r="A294" s="1"/>
      <c r="B294" s="1" t="s">
        <v>112</v>
      </c>
      <c r="C294" s="1"/>
    </row>
    <row r="295" spans="1:3" s="36" customFormat="1" x14ac:dyDescent="0.35">
      <c r="A295" s="1"/>
      <c r="B295"/>
      <c r="C295"/>
    </row>
    <row r="296" spans="1:3" s="21" customFormat="1" x14ac:dyDescent="0.35">
      <c r="A296" s="4">
        <v>5</v>
      </c>
      <c r="B296" t="s">
        <v>113</v>
      </c>
      <c r="C296"/>
    </row>
    <row r="297" spans="1:3" s="21" customFormat="1" x14ac:dyDescent="0.35">
      <c r="A297" s="22"/>
      <c r="B297" t="s">
        <v>114</v>
      </c>
      <c r="C297"/>
    </row>
    <row r="298" spans="1:3" s="21" customFormat="1" x14ac:dyDescent="0.35">
      <c r="A298" s="22"/>
      <c r="B298" t="s">
        <v>115</v>
      </c>
      <c r="C298"/>
    </row>
    <row r="299" spans="1:3" s="21" customFormat="1" x14ac:dyDescent="0.35">
      <c r="A299" s="22"/>
      <c r="B299" t="s">
        <v>116</v>
      </c>
      <c r="C299"/>
    </row>
    <row r="300" spans="1:3" s="21" customFormat="1" x14ac:dyDescent="0.35">
      <c r="A300" s="22"/>
      <c r="B300" t="s">
        <v>117</v>
      </c>
      <c r="C300"/>
    </row>
    <row r="301" spans="1:3" x14ac:dyDescent="0.35">
      <c r="B301" t="s">
        <v>118</v>
      </c>
      <c r="C301"/>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hyperlinks>
    <hyperlink ref="B290" r:id="rId2" xr:uid="{D55D81CA-9FA7-466D-81D4-E9A048D788A0}"/>
  </hyperlinks>
  <pageMargins left="0.7" right="0.7" top="0.75" bottom="0.75" header="0.3" footer="0.3"/>
  <pageSetup paperSize="9" orientation="portrait" r:id="rId3"/>
  <ignoredErrors>
    <ignoredError sqref="A18:A162" numberStoredAsText="1"/>
  </ignoredErrors>
  <drawing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31503</ReferenceId>
    <Notes xmlns="1e572c8d-6813-4013-8a4a-be491ac59459" xsi:nil="true"/>
    <TrackerId xmlns="1e572c8d-6813-4013-8a4a-be491ac59459">TRCK-3895</TrackerI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22BA2DA-6AC1-412E-BE15-A80ADF68A238}">
  <ds:schemaRefs>
    <ds:schemaRef ds:uri="http://schemas.microsoft.com/office/2006/metadata/properties"/>
    <ds:schemaRef ds:uri="http://schemas.microsoft.com/office/infopath/2007/PartnerControls"/>
    <ds:schemaRef ds:uri="96a98433-1569-4222-be80-afd48d89a184"/>
    <ds:schemaRef ds:uri="1e572c8d-6813-4013-8a4a-be491ac59459"/>
  </ds:schemaRefs>
</ds:datastoreItem>
</file>

<file path=customXml/itemProps2.xml><?xml version="1.0" encoding="utf-8"?>
<ds:datastoreItem xmlns:ds="http://schemas.openxmlformats.org/officeDocument/2006/customXml" ds:itemID="{D8CFE16F-8C9C-4C65-A848-AE7FF90A4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4.xml><?xml version="1.0" encoding="utf-8"?>
<ds:datastoreItem xmlns:ds="http://schemas.openxmlformats.org/officeDocument/2006/customXml" ds:itemID="{E127D832-A745-4AE2-92C1-5D143CCBD349}">
  <ds:schemaRefs>
    <ds:schemaRef ds:uri="http://schemas.microsoft.com/office/2006/metadata/longPropertie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 id="{569df091-b013-40e3-86ee-bd9cb9e25814}" enabled="0" method="" siteId="{569df091-b013-40e3-86ee-bd9cb9e2581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37</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Denzel Joseph</cp:lastModifiedBy>
  <cp:revision/>
  <dcterms:created xsi:type="dcterms:W3CDTF">2013-02-15T09:04:31Z</dcterms:created>
  <dcterms:modified xsi:type="dcterms:W3CDTF">2026-02-06T15:33:06Z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